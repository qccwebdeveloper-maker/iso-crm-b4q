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143.xml" ContentType="application/vnd.ms-excel.controlproperties+xml"/>
  <Override PartName="/xl/ctrlProps/ctrlProp144.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dell\Desktop\All report\FINAL\"/>
    </mc:Choice>
  </mc:AlternateContent>
  <xr:revisionPtr revIDLastSave="0" documentId="13_ncr:1_{AA7DA7B6-4C3B-497F-B78D-0DF40DCD678B}" xr6:coauthVersionLast="47" xr6:coauthVersionMax="47" xr10:uidLastSave="{00000000-0000-0000-0000-000000000000}"/>
  <bookViews>
    <workbookView xWindow="-120" yWindow="-120" windowWidth="20730" windowHeight="11160" tabRatio="904" firstSheet="1" activeTab="1" xr2:uid="{00000000-000D-0000-FFFF-FFFF00000000}"/>
  </bookViews>
  <sheets>
    <sheet name="Index " sheetId="36" state="hidden" r:id="rId1"/>
    <sheet name="F02 Application Form" sheetId="52" r:id="rId2"/>
    <sheet name="F03 App Rev &amp; F03-01 Aud Pln" sheetId="8" r:id="rId3"/>
    <sheet name="F03A Audit Planning for 3 years" sheetId="29" r:id="rId4"/>
    <sheet name="F-03 Auditor(s) Declaration" sheetId="37" r:id="rId5"/>
    <sheet name="F05&amp;F06 S1Plan&amp;Schedule" sheetId="30" r:id="rId6"/>
    <sheet name="F07 S1Opening&amp;Closing Meeting" sheetId="9" r:id="rId7"/>
    <sheet name="F09A S1Report" sheetId="10" r:id="rId8"/>
    <sheet name="AUD-F-22-REVIEW REPORT (A)" sheetId="54" r:id="rId9"/>
    <sheet name="F11&amp;F12 S2Plan&amp;Schedule" sheetId="31" r:id="rId10"/>
    <sheet name="F07 S2 Open&amp;Clos Meeting" sheetId="11" r:id="rId11"/>
    <sheet name="F15A S2Report" sheetId="12" r:id="rId12"/>
    <sheet name="F16&amp;F17 CAR" sheetId="34" r:id="rId13"/>
    <sheet name="AUD-F-17 CAR" sheetId="43" r:id="rId14"/>
    <sheet name="AUD-F-21 Draft" sheetId="24" r:id="rId15"/>
    <sheet name="Sheet7" sheetId="50" state="hidden" r:id="rId16"/>
    <sheet name="Sheet6" sheetId="49" state="hidden" r:id="rId17"/>
    <sheet name="Sheet5" sheetId="48" state="hidden" r:id="rId18"/>
    <sheet name="Sheet4" sheetId="47" state="hidden" r:id="rId19"/>
    <sheet name="Sheet3" sheetId="46" state="hidden" r:id="rId20"/>
    <sheet name="Sheet2" sheetId="45" state="hidden" r:id="rId21"/>
    <sheet name="Sheet1" sheetId="44" state="hidden" r:id="rId22"/>
    <sheet name="AUD-F-22-REVIEW REPORT (B)" sheetId="53" r:id="rId23"/>
    <sheet name="DATA" sheetId="39" r:id="rId24"/>
    <sheet name="LIST" sheetId="40" state="hidden" r:id="rId25"/>
  </sheets>
  <externalReferences>
    <externalReference r:id="rId26"/>
    <externalReference r:id="rId27"/>
  </externalReferences>
  <definedNames>
    <definedName name="ADDRESS">[1]Sheet2!$B$5</definedName>
    <definedName name="ADS">DATA!$D$6</definedName>
    <definedName name="ADSITE">DATA!$D$6</definedName>
    <definedName name="APPD">DATA!$D$19</definedName>
    <definedName name="APPLIDATE" localSheetId="3">'F03A Audit Planning for 3 years'!#REF!</definedName>
    <definedName name="APPLIDATE" localSheetId="5">'F05&amp;F06 S1Plan&amp;Schedule'!#REF!</definedName>
    <definedName name="APPLIDATE" localSheetId="6">'F07 S1Opening&amp;Closing Meeting'!#REF!</definedName>
    <definedName name="APPLIDATE" localSheetId="10">'F07 S2 Open&amp;Clos Meeting'!#REF!</definedName>
    <definedName name="APPLIDATE" localSheetId="7">'F09A S1Report'!#REF!</definedName>
    <definedName name="APPLIDATE" localSheetId="9">'F11&amp;F12 S2Plan&amp;Schedule'!#REF!</definedName>
    <definedName name="APPLIDATE" localSheetId="11">'F15A S2Report'!#REF!</definedName>
    <definedName name="APPLIDATE">#REF!</definedName>
    <definedName name="APPRD">DATA!$H$19</definedName>
    <definedName name="ATP">DATA!$D$4</definedName>
    <definedName name="AUDDEC1">DATA!$D$30</definedName>
    <definedName name="AUDDEC2">DATA!$D$31</definedName>
    <definedName name="AUDDEC3">DATA!$D$32</definedName>
    <definedName name="AUDDEC4">DATA!$D$33</definedName>
    <definedName name="AUDIOR4CONTACT">'F03 App Rev &amp; F03-01 Aud Pln'!#REF!</definedName>
    <definedName name="AUDIOR5ROLE" localSheetId="4">'F-03 Auditor(s) Declaration'!#REF!</definedName>
    <definedName name="AUDIOR5ROLE">'F03 App Rev &amp; F03-01 Aud Pln'!#REF!</definedName>
    <definedName name="AUDIT">[2]QM!$I$12</definedName>
    <definedName name="AUDITLANG" localSheetId="4">'F-03 Auditor(s) Declaration'!#REF!</definedName>
    <definedName name="AUDITLANG">'F03 App Rev &amp; F03-01 Aud Pln'!$B$11</definedName>
    <definedName name="AUDITNUM" localSheetId="4">'F-03 Auditor(s) Declaration'!#REF!</definedName>
    <definedName name="AUDITNUM">'F03 App Rev &amp; F03-01 Aud Pln'!$E$2</definedName>
    <definedName name="AUDITOR1">DATA!$D$22</definedName>
    <definedName name="AUDITOR2">DATA!$D$23</definedName>
    <definedName name="AUDITOR3">DATA!$D$24</definedName>
    <definedName name="AUDITOR4">DATA!$D$25</definedName>
    <definedName name="AUDITOR5" localSheetId="4">'F-03 Auditor(s) Declaration'!#REF!</definedName>
    <definedName name="AUDITOR5">'F03 App Rev &amp; F03-01 Aud Pln'!#REF!</definedName>
    <definedName name="AUDITOR5CODE" localSheetId="4">'F-03 Auditor(s) Declaration'!#REF!</definedName>
    <definedName name="AUDITOR5CODE">'F03 App Rev &amp; F03-01 Aud Pln'!#REF!</definedName>
    <definedName name="AUDITOR5CONTACT" localSheetId="4">'F-03 Auditor(s) Declaration'!#REF!</definedName>
    <definedName name="AUDITOR5CONTACT">'F03 App Rev &amp; F03-01 Aud Pln'!#REF!</definedName>
    <definedName name="AUDITOR5ROLE" localSheetId="4">'F-03 Auditor(s) Declaration'!#REF!</definedName>
    <definedName name="AUDITOR5ROLE">'F03 App Rev &amp; F03-01 Aud Pln'!#REF!</definedName>
    <definedName name="AUDITOR5STD" localSheetId="4">'F-03 Auditor(s) Declaration'!#REF!</definedName>
    <definedName name="AUDITOR5STD">'F03 App Rev &amp; F03-01 Aud Pln'!#REF!</definedName>
    <definedName name="AUDITOR5STG1" localSheetId="4">'F-03 Auditor(s) Declaration'!#REF!</definedName>
    <definedName name="AUDITOR5STG1">'F03 App Rev &amp; F03-01 Aud Pln'!#REF!</definedName>
    <definedName name="AUDITOR5STG2" localSheetId="4">'F-03 Auditor(s) Declaration'!#REF!</definedName>
    <definedName name="AUDITOR5STG2">'F03 App Rev &amp; F03-01 Aud Pln'!#REF!</definedName>
    <definedName name="AUDITTYPE" localSheetId="4">'F-03 Auditor(s) Declaration'!#REF!</definedName>
    <definedName name="AUDITTYPE">'F03 App Rev &amp; F03-01 Aud Pln'!$E$6</definedName>
    <definedName name="AUDITTYPE2" localSheetId="4">'F-03 Auditor(s) Declaration'!#REF!</definedName>
    <definedName name="AUDITTYPE2">'F03 App Rev &amp; F03-01 Aud Pln'!$E$7</definedName>
    <definedName name="BAO">DATA!$D$49</definedName>
    <definedName name="BL">#REF!</definedName>
    <definedName name="CARDATE1">DATA!$C$83</definedName>
    <definedName name="CC">[2]IDX!$B$38:$B$41</definedName>
    <definedName name="CC1DESIG" localSheetId="4">'F-03 Auditor(s) Declaration'!#REF!</definedName>
    <definedName name="CC1DESIG">'F03 App Rev &amp; F03-01 Aud Pln'!$B$33</definedName>
    <definedName name="CC1NAME" localSheetId="4">'F-03 Auditor(s) Declaration'!#REF!</definedName>
    <definedName name="CC1NAME">'F03 App Rev &amp; F03-01 Aud Pln'!$A$33</definedName>
    <definedName name="CC2DESIG" localSheetId="4">'F-03 Auditor(s) Declaration'!#REF!</definedName>
    <definedName name="CC2DESIG">'F03 App Rev &amp; F03-01 Aud Pln'!$F$33</definedName>
    <definedName name="CC2NAME" localSheetId="4">'F-03 Auditor(s) Declaration'!#REF!</definedName>
    <definedName name="CC2NAME">'F03 App Rev &amp; F03-01 Aud Pln'!$D$33</definedName>
    <definedName name="CERTSTD">'AUD-F-21 Draft'!$I$1</definedName>
    <definedName name="Check10" localSheetId="3">'F03A Audit Planning for 3 years'!#REF!</definedName>
    <definedName name="Check10" localSheetId="5">'F05&amp;F06 S1Plan&amp;Schedule'!#REF!</definedName>
    <definedName name="Check10" localSheetId="6">'F07 S1Opening&amp;Closing Meeting'!#REF!</definedName>
    <definedName name="Check10" localSheetId="10">'F07 S2 Open&amp;Clos Meeting'!#REF!</definedName>
    <definedName name="Check10" localSheetId="7">'F09A S1Report'!#REF!</definedName>
    <definedName name="Check10" localSheetId="9">'F11&amp;F12 S2Plan&amp;Schedule'!#REF!</definedName>
    <definedName name="Check10" localSheetId="11">'F15A S2Report'!#REF!</definedName>
    <definedName name="Check11" localSheetId="3">'F03A Audit Planning for 3 years'!#REF!</definedName>
    <definedName name="Check11" localSheetId="5">'F05&amp;F06 S1Plan&amp;Schedule'!#REF!</definedName>
    <definedName name="Check11" localSheetId="6">'F07 S1Opening&amp;Closing Meeting'!#REF!</definedName>
    <definedName name="Check11" localSheetId="10">'F07 S2 Open&amp;Clos Meeting'!#REF!</definedName>
    <definedName name="Check11" localSheetId="7">'F09A S1Report'!#REF!</definedName>
    <definedName name="Check11" localSheetId="9">'F11&amp;F12 S2Plan&amp;Schedule'!#REF!</definedName>
    <definedName name="Check11" localSheetId="11">'F15A S2Report'!#REF!</definedName>
    <definedName name="Check12" localSheetId="3">'F03A Audit Planning for 3 years'!#REF!</definedName>
    <definedName name="Check12" localSheetId="5">'F05&amp;F06 S1Plan&amp;Schedule'!#REF!</definedName>
    <definedName name="Check12" localSheetId="6">'F07 S1Opening&amp;Closing Meeting'!#REF!</definedName>
    <definedName name="Check12" localSheetId="10">'F07 S2 Open&amp;Clos Meeting'!#REF!</definedName>
    <definedName name="Check12" localSheetId="7">'F09A S1Report'!#REF!</definedName>
    <definedName name="Check12" localSheetId="9">'F11&amp;F12 S2Plan&amp;Schedule'!#REF!</definedName>
    <definedName name="Check12" localSheetId="11">'F15A S2Report'!#REF!</definedName>
    <definedName name="Check7" localSheetId="3">'F03A Audit Planning for 3 years'!#REF!</definedName>
    <definedName name="Check7" localSheetId="5">'F05&amp;F06 S1Plan&amp;Schedule'!#REF!</definedName>
    <definedName name="Check7" localSheetId="6">'F07 S1Opening&amp;Closing Meeting'!#REF!</definedName>
    <definedName name="Check7" localSheetId="10">'F07 S2 Open&amp;Clos Meeting'!#REF!</definedName>
    <definedName name="Check7" localSheetId="7">'F09A S1Report'!#REF!</definedName>
    <definedName name="Check7" localSheetId="9">'F11&amp;F12 S2Plan&amp;Schedule'!#REF!</definedName>
    <definedName name="Check7" localSheetId="11">'F15A S2Report'!#REF!</definedName>
    <definedName name="Check8" localSheetId="3">'F03A Audit Planning for 3 years'!#REF!</definedName>
    <definedName name="Check8" localSheetId="5">'F05&amp;F06 S1Plan&amp;Schedule'!#REF!</definedName>
    <definedName name="Check8" localSheetId="6">'F07 S1Opening&amp;Closing Meeting'!#REF!</definedName>
    <definedName name="Check8" localSheetId="10">'F07 S2 Open&amp;Clos Meeting'!#REF!</definedName>
    <definedName name="Check8" localSheetId="7">'F09A S1Report'!#REF!</definedName>
    <definedName name="Check8" localSheetId="9">'F11&amp;F12 S2Plan&amp;Schedule'!#REF!</definedName>
    <definedName name="Check8" localSheetId="11">'F15A S2Report'!#REF!</definedName>
    <definedName name="Check9" localSheetId="3">'F03A Audit Planning for 3 years'!#REF!</definedName>
    <definedName name="Check9" localSheetId="5">'F05&amp;F06 S1Plan&amp;Schedule'!#REF!</definedName>
    <definedName name="Check9" localSheetId="6">'F07 S1Opening&amp;Closing Meeting'!#REF!</definedName>
    <definedName name="Check9" localSheetId="10">'F07 S2 Open&amp;Clos Meeting'!#REF!</definedName>
    <definedName name="Check9" localSheetId="7">'F09A S1Report'!#REF!</definedName>
    <definedName name="Check9" localSheetId="9">'F11&amp;F12 S2Plan&amp;Schedule'!#REF!</definedName>
    <definedName name="Check9" localSheetId="11">'F15A S2Report'!#REF!</definedName>
    <definedName name="CIFIADATE">#REF!</definedName>
    <definedName name="CIFMRMDATE">#REF!</definedName>
    <definedName name="CN">#REF!</definedName>
    <definedName name="CODNOM">DATA!$I$8</definedName>
    <definedName name="CONTACTNUM">DATA!$I$8</definedName>
    <definedName name="CONTACTPERS">DATA!$D$8</definedName>
    <definedName name="CONTEMP" localSheetId="4">#REF!</definedName>
    <definedName name="CONTEMP" localSheetId="3">'F03A Audit Planning for 3 years'!#REF!</definedName>
    <definedName name="CONTEMP" localSheetId="5">'F05&amp;F06 S1Plan&amp;Schedule'!#REF!</definedName>
    <definedName name="CONTEMP" localSheetId="6">'F07 S1Opening&amp;Closing Meeting'!#REF!</definedName>
    <definedName name="CONTEMP" localSheetId="10">'F07 S2 Open&amp;Clos Meeting'!#REF!</definedName>
    <definedName name="CONTEMP" localSheetId="7">'F09A S1Report'!#REF!</definedName>
    <definedName name="CONTEMP" localSheetId="9">'F11&amp;F12 S2Plan&amp;Schedule'!#REF!</definedName>
    <definedName name="CONTEMP" localSheetId="11">'F15A S2Report'!#REF!</definedName>
    <definedName name="CONTEMP">#REF!</definedName>
    <definedName name="CONTMOB">DATA!$I$8</definedName>
    <definedName name="CONTNOM">DATA!$I$8</definedName>
    <definedName name="CORRECTION1">DATA!$C$81</definedName>
    <definedName name="CORRECTIVEACTION1">DATA!$C$82</definedName>
    <definedName name="CRDATE">#REF!</definedName>
    <definedName name="DATE1">[1]Sheet2!$B$7</definedName>
    <definedName name="DATE2">[1]Sheet2!$B$8</definedName>
    <definedName name="DATE3">[1]Sheet2!$B$9</definedName>
    <definedName name="DATE4">[1]Sheet2!$B$10</definedName>
    <definedName name="DESIGNATION">DATA!$D$9</definedName>
    <definedName name="DOCDATE" localSheetId="3">'F03A Audit Planning for 3 years'!#REF!</definedName>
    <definedName name="DOCDATE" localSheetId="5">'F05&amp;F06 S1Plan&amp;Schedule'!#REF!</definedName>
    <definedName name="DOCDATE" localSheetId="6">'F07 S1Opening&amp;Closing Meeting'!#REF!</definedName>
    <definedName name="DOCDATE" localSheetId="10">'F07 S2 Open&amp;Clos Meeting'!#REF!</definedName>
    <definedName name="DOCDATE" localSheetId="7">'F09A S1Report'!#REF!</definedName>
    <definedName name="DOCDATE" localSheetId="9">'F11&amp;F12 S2Plan&amp;Schedule'!#REF!</definedName>
    <definedName name="DOCDATE" localSheetId="11">'F15A S2Report'!#REF!</definedName>
    <definedName name="DOCDATE">#REF!</definedName>
    <definedName name="Dropdown1" localSheetId="3">'F03A Audit Planning for 3 years'!#REF!</definedName>
    <definedName name="Dropdown1" localSheetId="5">'F05&amp;F06 S1Plan&amp;Schedule'!#REF!</definedName>
    <definedName name="Dropdown1" localSheetId="6">'F07 S1Opening&amp;Closing Meeting'!#REF!</definedName>
    <definedName name="Dropdown1" localSheetId="10">'F07 S2 Open&amp;Clos Meeting'!#REF!</definedName>
    <definedName name="Dropdown1" localSheetId="7">'F09A S1Report'!#REF!</definedName>
    <definedName name="Dropdown1" localSheetId="9">'F11&amp;F12 S2Plan&amp;Schedule'!#REF!</definedName>
    <definedName name="Dropdown1" localSheetId="11">'F15A S2Report'!#REF!</definedName>
    <definedName name="EFFECTIVEPERS">#REF!</definedName>
    <definedName name="ELEVENMONTH">DATA!$D$48</definedName>
    <definedName name="EMAILID">DATA!$I$9</definedName>
    <definedName name="EMPLOYEENUM">DATA!$D$13</definedName>
    <definedName name="GZA">DATA!$D$11</definedName>
    <definedName name="IAD">DATA!$D$18</definedName>
    <definedName name="IADATE" localSheetId="3">'F03A Audit Planning for 3 years'!#REF!</definedName>
    <definedName name="IADATE" localSheetId="5">'F05&amp;F06 S1Plan&amp;Schedule'!#REF!</definedName>
    <definedName name="IADATE" localSheetId="6">'F07 S1Opening&amp;Closing Meeting'!#REF!</definedName>
    <definedName name="IADATE" localSheetId="10">'F07 S2 Open&amp;Clos Meeting'!#REF!</definedName>
    <definedName name="IADATE" localSheetId="7">'F09A S1Report'!#REF!</definedName>
    <definedName name="IADATE" localSheetId="9">'F11&amp;F12 S2Plan&amp;Schedule'!#REF!</definedName>
    <definedName name="IADATE" localSheetId="11">'F15A S2Report'!#REF!</definedName>
    <definedName name="IAFCODE">DATA!$D$20</definedName>
    <definedName name="ICCODE" localSheetId="4">'F-03 Auditor(s) Declaration'!#REF!</definedName>
    <definedName name="ICCODE">'F03 App Rev &amp; F03-01 Aud Pln'!$B$12</definedName>
    <definedName name="ICDATE">#REF!</definedName>
    <definedName name="ID">DATA!$D$1</definedName>
    <definedName name="INITIALDATE">#REF!</definedName>
    <definedName name="ISMSEXL">#REF!</definedName>
    <definedName name="LARECOMMEND" localSheetId="3">'F03A Audit Planning for 3 years'!#REF!</definedName>
    <definedName name="LARECOMMEND">'F15A S2Report'!#REF!</definedName>
    <definedName name="LEGAL">DATA!$D$14</definedName>
    <definedName name="May_23">'F03A Audit Planning for 3 years'!$AG$6</definedName>
    <definedName name="MED">DATA!$D$16</definedName>
    <definedName name="MND">DATA!$D$17</definedName>
    <definedName name="MOA">DATA!$D$10</definedName>
    <definedName name="MRMD">DATA!$H$18</definedName>
    <definedName name="MRMDATE" localSheetId="3">'F03A Audit Planning for 3 years'!#REF!</definedName>
    <definedName name="MRMDATE" localSheetId="5">'F05&amp;F06 S1Plan&amp;Schedule'!#REF!</definedName>
    <definedName name="MRMDATE" localSheetId="6">'F07 S1Opening&amp;Closing Meeting'!#REF!</definedName>
    <definedName name="MRMDATE" localSheetId="10">'F07 S2 Open&amp;Clos Meeting'!#REF!</definedName>
    <definedName name="MRMDATE" localSheetId="7">'F09A S1Report'!#REF!</definedName>
    <definedName name="MRMDATE" localSheetId="9">'F11&amp;F12 S2Plan&amp;Schedule'!#REF!</definedName>
    <definedName name="MRMDATE" localSheetId="11">'F15A S2Report'!#REF!</definedName>
    <definedName name="MTSTD">[2]IDX!$E$29:$E$30</definedName>
    <definedName name="NAME">[1]Sheet2!$B$4</definedName>
    <definedName name="NOE">#REF!</definedName>
    <definedName name="NOS">#REF!</definedName>
    <definedName name="NR">[2]IDX!$L$29:$L$38</definedName>
    <definedName name="NRP">[2]IDX!$T$24:$T$34</definedName>
    <definedName name="OBSQTY">#REF!</definedName>
    <definedName name="OBSSTAGE1">#REF!</definedName>
    <definedName name="OLE_LINK1" localSheetId="3">'F03A Audit Planning for 3 years'!#REF!</definedName>
    <definedName name="OLE_LINK1" localSheetId="5">'F05&amp;F06 S1Plan&amp;Schedule'!#REF!</definedName>
    <definedName name="OLE_LINK1" localSheetId="6">'F07 S1Opening&amp;Closing Meeting'!#REF!</definedName>
    <definedName name="OLE_LINK1" localSheetId="10">'F07 S2 Open&amp;Clos Meeting'!#REF!</definedName>
    <definedName name="OLE_LINK1" localSheetId="7">'F09A S1Report'!$A$2</definedName>
    <definedName name="OLE_LINK1" localSheetId="9">'F11&amp;F12 S2Plan&amp;Schedule'!#REF!</definedName>
    <definedName name="OLE_LINK1" localSheetId="11">'F15A S2Report'!#REF!</definedName>
    <definedName name="OLE_LINK3" localSheetId="3">'F03A Audit Planning for 3 years'!#REF!</definedName>
    <definedName name="OLE_LINK3" localSheetId="5">'F05&amp;F06 S1Plan&amp;Schedule'!#REF!</definedName>
    <definedName name="OLE_LINK3" localSheetId="6">'F07 S1Opening&amp;Closing Meeting'!#REF!</definedName>
    <definedName name="OLE_LINK3" localSheetId="10">'F07 S2 Open&amp;Clos Meeting'!#REF!</definedName>
    <definedName name="OLE_LINK3" localSheetId="7">'F09A S1Report'!$A$21</definedName>
    <definedName name="OLE_LINK3" localSheetId="9">'F11&amp;F12 S2Plan&amp;Schedule'!#REF!</definedName>
    <definedName name="OLE_LINK3" localSheetId="11">'F15A S2Report'!#REF!</definedName>
    <definedName name="OML">DATA!$D$12</definedName>
    <definedName name="ORGADD">DATA!$D$5</definedName>
    <definedName name="ORGN">DATA!$D$2</definedName>
    <definedName name="OUTSOURCING">DATA!$D$15</definedName>
    <definedName name="PMTEMP" localSheetId="4">#REF!</definedName>
    <definedName name="PMTEMP" localSheetId="3">'F03A Audit Planning for 3 years'!#REF!</definedName>
    <definedName name="PMTEMP" localSheetId="5">'F05&amp;F06 S1Plan&amp;Schedule'!#REF!</definedName>
    <definedName name="PMTEMP" localSheetId="6">'F07 S1Opening&amp;Closing Meeting'!#REF!</definedName>
    <definedName name="PMTEMP" localSheetId="10">'F07 S2 Open&amp;Clos Meeting'!#REF!</definedName>
    <definedName name="PMTEMP" localSheetId="7">'F09A S1Report'!#REF!</definedName>
    <definedName name="PMTEMP" localSheetId="9">'F11&amp;F12 S2Plan&amp;Schedule'!#REF!</definedName>
    <definedName name="PMTEMP" localSheetId="11">'F15A S2Report'!#REF!</definedName>
    <definedName name="PMTEMP">#REF!</definedName>
    <definedName name="_xlnm.Print_Area" localSheetId="14">'AUD-F-21 Draft'!A1:F18</definedName>
    <definedName name="_xlnm.Print_Area" localSheetId="2">'F03 App Rev &amp; F03-01 Aud Pln'!A1:G34</definedName>
    <definedName name="_xlnm.Print_Area" localSheetId="4">'F-03 Auditor(s) Declaration'!A1:G13</definedName>
    <definedName name="_xlnm.Print_Area" localSheetId="3">'F03A Audit Planning for 3 years'!A1:U5</definedName>
    <definedName name="_xlnm.Print_Area" localSheetId="5">'F05&amp;F06 S1Plan&amp;Schedule'!A1:O55</definedName>
    <definedName name="_xlnm.Print_Area" localSheetId="6">'F07 S1Opening&amp;Closing Meeting'!A1:O28</definedName>
    <definedName name="_xlnm.Print_Area" localSheetId="10">'F07 S2 Open&amp;Clos Meeting'!A1:O27</definedName>
    <definedName name="_xlnm.Print_Area" localSheetId="7">'F09A S1Report'!A1:O49</definedName>
    <definedName name="_xlnm.Print_Area" localSheetId="9">'F11&amp;F12 S2Plan&amp;Schedule'!A1:O67</definedName>
    <definedName name="_xlnm.Print_Area" localSheetId="11">'F15A S2Report'!A1:O56</definedName>
    <definedName name="_xlnm.Print_Area" localSheetId="12">'F16&amp;F17 CAR'!A1:L11</definedName>
    <definedName name="PROCESSDEPT1">DATA!$D$74</definedName>
    <definedName name="PROCESSDEPT2">DATA!$D$75</definedName>
    <definedName name="PROCESSDEPT3">DATA!$D$76</definedName>
    <definedName name="Q">[2]IDX!$B$29:$B$30</definedName>
    <definedName name="QMSEXL">#REF!</definedName>
    <definedName name="RADATE">#REF!</definedName>
    <definedName name="RDHOD">DATA!$C$85</definedName>
    <definedName name="RDREV">DATA!$C$84</definedName>
    <definedName name="REGN">[1]Sheet2!$B$11</definedName>
    <definedName name="REGNUM">#REF!</definedName>
    <definedName name="RISK">DATA!$D$21</definedName>
    <definedName name="RN">DATA!$D$34</definedName>
    <definedName name="ROLE1">DATA!$D$26</definedName>
    <definedName name="ROLE2">DATA!$D$27</definedName>
    <definedName name="ROLE3">DATA!$D$28</definedName>
    <definedName name="ROLE4">DATA!$D$29</definedName>
    <definedName name="ROOTCAUSE1">DATA!$C$80</definedName>
    <definedName name="S">#REF!</definedName>
    <definedName name="S1REPDATE">'F09A S1Report'!#REF!</definedName>
    <definedName name="S2REPDATE" localSheetId="3">'F03A Audit Planning for 3 years'!#REF!</definedName>
    <definedName name="S2REPDATE">'F15A S2Report'!#REF!</definedName>
    <definedName name="SADATE">#REF!</definedName>
    <definedName name="SCOPE">DATA!$D$7</definedName>
    <definedName name="SHIFT" localSheetId="4">#REF!</definedName>
    <definedName name="SHIFT" localSheetId="3">'F03A Audit Planning for 3 years'!#REF!</definedName>
    <definedName name="SHIFT" localSheetId="5">'F05&amp;F06 S1Plan&amp;Schedule'!#REF!</definedName>
    <definedName name="SHIFT" localSheetId="6">'F07 S1Opening&amp;Closing Meeting'!#REF!</definedName>
    <definedName name="SHIFT" localSheetId="10">'F07 S2 Open&amp;Clos Meeting'!#REF!</definedName>
    <definedName name="SHIFT" localSheetId="7">'F09A S1Report'!#REF!</definedName>
    <definedName name="SHIFT" localSheetId="9">'F11&amp;F12 S2Plan&amp;Schedule'!#REF!</definedName>
    <definedName name="SHIFT" localSheetId="11">'F15A S2Report'!#REF!</definedName>
    <definedName name="SHIFT">#REF!</definedName>
    <definedName name="SHIFTNO">#REF!</definedName>
    <definedName name="SLCT">[2]IDX!$E$33:$E$34</definedName>
    <definedName name="ST1AUDDATE1">DATA!$D$45</definedName>
    <definedName name="ST1AUDDATE2">DATA!$H$45</definedName>
    <definedName name="ST1AUDPLAN">DATA!$D$44</definedName>
    <definedName name="ST1CLAUSE1">DATA!$D$55</definedName>
    <definedName name="ST1CLAUSE2">DATA!$D$56</definedName>
    <definedName name="ST1MANDAY1">DATA!$D$36</definedName>
    <definedName name="ST1MANDAY2">DATA!$D$37</definedName>
    <definedName name="ST1MANDAY3">DATA!$D$38</definedName>
    <definedName name="ST1MANDAY4">DATA!$D$39</definedName>
    <definedName name="ST1OBS1">DATA!$D$51</definedName>
    <definedName name="ST1OBS2">DATA!$D$52</definedName>
    <definedName name="ST1OBSCL1">#REF!</definedName>
    <definedName name="ST1OBSQTY">DATA!$D$50</definedName>
    <definedName name="ST2AUDDA">DATA!$H$47</definedName>
    <definedName name="ST2AUDDATE1">DATA!$D$47</definedName>
    <definedName name="ST2AUDDATE2">DATA!$H$47</definedName>
    <definedName name="ST2AUDDATE21">DATA!$H$47</definedName>
    <definedName name="ST2AUDPLAN">DATA!$D$46</definedName>
    <definedName name="ST2CLAUSE1">DATA!$D$65</definedName>
    <definedName name="ST2CLAUSE2">DATA!$D$66</definedName>
    <definedName name="ST2CLAUSE3">DATA!$D$67</definedName>
    <definedName name="ST2CLAUSE4">DATA!$D$68</definedName>
    <definedName name="ST2MANDAY1">DATA!$D$40</definedName>
    <definedName name="ST2MANDAY2">DATA!$D$41</definedName>
    <definedName name="ST2MANDAY3">DATA!$D$42</definedName>
    <definedName name="ST2MANDAY4">DATA!$D$43</definedName>
    <definedName name="ST2MINNC1">DATA!$D$70</definedName>
    <definedName name="ST2MINNC2">DATA!$D$71</definedName>
    <definedName name="ST2MINNCCL1">DATA!$D$72</definedName>
    <definedName name="ST2MINNCCL2">DATA!$D$73</definedName>
    <definedName name="ST2MINNCQTY">DATA!$D$69</definedName>
    <definedName name="ST2MINNCSTANDARD">#REF!</definedName>
    <definedName name="ST2OBS1">DATA!$D$58</definedName>
    <definedName name="ST2OBS2">DATA!$D$59</definedName>
    <definedName name="ST2OBS3">DATA!$D$60</definedName>
    <definedName name="ST2OBS4">DATA!$D$61</definedName>
    <definedName name="ST2OBSQTY">DATA!$D$57</definedName>
    <definedName name="STANDARD">DATA!$D$3</definedName>
    <definedName name="STANDARD1">DATA!$D$53</definedName>
    <definedName name="STANDARD2">DATA!$D$54</definedName>
    <definedName name="STANDARD3">DATA!$D$62</definedName>
    <definedName name="STANDARD4">DATA!$D$63</definedName>
    <definedName name="STANDARD5">DATA!$D$64</definedName>
    <definedName name="STD">DATA!$H$47</definedName>
    <definedName name="STDNAME">[1]Sheet2!$B$3</definedName>
    <definedName name="STDNR">[2]IDX!$I$29:$I$38</definedName>
    <definedName name="STDWORD">[1]Sheet2!$B$2</definedName>
    <definedName name="STR">DATA!$H$47</definedName>
    <definedName name="TOTALEMP" localSheetId="4">#REF!</definedName>
    <definedName name="TOTALEMP" localSheetId="3">'F03A Audit Planning for 3 years'!#REF!</definedName>
    <definedName name="TOTALEMP" localSheetId="5">'F05&amp;F06 S1Plan&amp;Schedule'!#REF!</definedName>
    <definedName name="TOTALEMP" localSheetId="6">'F07 S1Opening&amp;Closing Meeting'!#REF!</definedName>
    <definedName name="TOTALEMP" localSheetId="10">'F07 S2 Open&amp;Clos Meeting'!#REF!</definedName>
    <definedName name="TOTALEMP" localSheetId="7">'F09A S1Report'!#REF!</definedName>
    <definedName name="TOTALEMP" localSheetId="9">'F11&amp;F12 S2Plan&amp;Schedule'!#REF!</definedName>
    <definedName name="TOTALEMP" localSheetId="11">'F15A S2Report'!#REF!</definedName>
    <definedName name="TOTALEMP">#REF!</definedName>
    <definedName name="TOTALMD" localSheetId="4">'F-03 Auditor(s) Declaration'!#REF!</definedName>
    <definedName name="TOTALMD">'F03 App Rev &amp; F03-01 Aud Pln'!$F$27</definedName>
    <definedName name="TP">[2]IDX!$B$33:$B$35</definedName>
    <definedName name="TYPENC1">DATA!$C$77</definedName>
    <definedName name="TYPENC2">DATA!$C$78</definedName>
    <definedName name="TYPENC3">DATA!$C$79</definedName>
    <definedName name="UC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4" i="52" l="1"/>
  <c r="L202" i="52"/>
  <c r="B79" i="53"/>
  <c r="B71" i="53"/>
  <c r="B61" i="53"/>
  <c r="G22" i="53"/>
  <c r="G21" i="53"/>
  <c r="J20" i="53"/>
  <c r="G20" i="53"/>
  <c r="H19" i="53"/>
  <c r="H16" i="53"/>
  <c r="F9" i="53"/>
  <c r="F8" i="53"/>
  <c r="F6" i="53"/>
  <c r="F5" i="53"/>
  <c r="E20" i="24"/>
  <c r="E19" i="24"/>
  <c r="A13" i="24"/>
  <c r="A6" i="24"/>
  <c r="A4" i="24"/>
  <c r="E19" i="43"/>
  <c r="B19" i="43"/>
  <c r="E17" i="43"/>
  <c r="B17" i="43"/>
  <c r="B13" i="43"/>
  <c r="B12" i="43"/>
  <c r="B11" i="43"/>
  <c r="B10" i="43"/>
  <c r="B8" i="43"/>
  <c r="B7" i="43"/>
  <c r="B5" i="43"/>
  <c r="B4" i="43"/>
  <c r="B3" i="43"/>
  <c r="B2" i="43"/>
  <c r="F8" i="34"/>
  <c r="C8" i="34"/>
  <c r="F7" i="34"/>
  <c r="D7" i="34"/>
  <c r="C7" i="34"/>
  <c r="B7" i="34"/>
  <c r="I6" i="34"/>
  <c r="G6" i="34"/>
  <c r="F6" i="34"/>
  <c r="E6" i="34"/>
  <c r="D6" i="34"/>
  <c r="C6" i="34"/>
  <c r="B6" i="34"/>
  <c r="F4" i="34"/>
  <c r="F3" i="34"/>
  <c r="F2" i="34"/>
  <c r="E45" i="12"/>
  <c r="E44" i="12"/>
  <c r="E43" i="12"/>
  <c r="E42" i="12"/>
  <c r="F3" i="11"/>
  <c r="L2" i="11"/>
  <c r="F2" i="11"/>
  <c r="G20" i="31"/>
  <c r="C20" i="31"/>
  <c r="A20" i="31"/>
  <c r="G19" i="31"/>
  <c r="C19" i="31"/>
  <c r="A19" i="31"/>
  <c r="G18" i="31"/>
  <c r="C18" i="31"/>
  <c r="A18" i="31"/>
  <c r="G17" i="31"/>
  <c r="C17" i="31"/>
  <c r="A17" i="31"/>
  <c r="D13" i="31"/>
  <c r="D11" i="31"/>
  <c r="K10" i="31"/>
  <c r="D10" i="31"/>
  <c r="H9" i="31"/>
  <c r="D9" i="31"/>
  <c r="D8" i="31"/>
  <c r="D7" i="31"/>
  <c r="D6" i="31"/>
  <c r="L5" i="31"/>
  <c r="D5" i="31"/>
  <c r="D4" i="31"/>
  <c r="D3" i="31"/>
  <c r="D2" i="31"/>
  <c r="B40" i="54"/>
  <c r="B39" i="54"/>
  <c r="B29" i="54"/>
  <c r="G25" i="54"/>
  <c r="J22" i="54"/>
  <c r="G22" i="54"/>
  <c r="G21" i="54"/>
  <c r="G18" i="54"/>
  <c r="F9" i="54"/>
  <c r="F8" i="54"/>
  <c r="F7" i="54"/>
  <c r="F6" i="54"/>
  <c r="F5" i="54"/>
  <c r="B42" i="10"/>
  <c r="H41" i="10"/>
  <c r="E41" i="10"/>
  <c r="B41" i="10"/>
  <c r="F2" i="9"/>
  <c r="L18" i="30"/>
  <c r="C18" i="30"/>
  <c r="A18" i="30"/>
  <c r="D14" i="30"/>
  <c r="D11" i="30"/>
  <c r="K10" i="30"/>
  <c r="D10" i="30"/>
  <c r="H9" i="30"/>
  <c r="D9" i="30"/>
  <c r="D8" i="30"/>
  <c r="D7" i="30"/>
  <c r="D6" i="30"/>
  <c r="L5" i="30"/>
  <c r="D5" i="30"/>
  <c r="D4" i="30"/>
  <c r="D3" i="30"/>
  <c r="D2" i="30"/>
  <c r="D11" i="37"/>
  <c r="D10" i="37"/>
  <c r="D9" i="37"/>
  <c r="B9" i="37"/>
  <c r="D8" i="37"/>
  <c r="B8" i="37"/>
  <c r="D7" i="37"/>
  <c r="B3" i="37"/>
  <c r="B2" i="37"/>
  <c r="F33" i="8"/>
  <c r="B33" i="8"/>
  <c r="B32" i="8"/>
  <c r="F30" i="8"/>
  <c r="D30" i="8"/>
  <c r="C30" i="8"/>
  <c r="L2" i="9" s="1"/>
  <c r="A30" i="8"/>
  <c r="E25" i="8"/>
  <c r="F26" i="8" s="1"/>
  <c r="F23" i="8"/>
  <c r="C23" i="8"/>
  <c r="F22" i="8"/>
  <c r="C22" i="8"/>
  <c r="A22" i="8"/>
  <c r="C21" i="8"/>
  <c r="F20" i="8"/>
  <c r="F25" i="8" s="1"/>
  <c r="E20" i="8"/>
  <c r="C20" i="8"/>
  <c r="B12" i="8"/>
  <c r="D12" i="30" s="1"/>
  <c r="B10" i="8"/>
  <c r="E9" i="8"/>
  <c r="B9" i="8"/>
  <c r="B8" i="8"/>
  <c r="F3" i="9" s="1"/>
  <c r="B6" i="8"/>
  <c r="E5" i="8"/>
  <c r="B5" i="8"/>
  <c r="B4" i="8"/>
  <c r="B3" i="8"/>
  <c r="B2" i="8"/>
  <c r="G35" i="52"/>
  <c r="G34" i="52"/>
  <c r="G33" i="52"/>
  <c r="G30" i="52"/>
  <c r="G27" i="52"/>
  <c r="K25" i="52"/>
  <c r="B25" i="52"/>
  <c r="D17" i="52"/>
  <c r="B10" i="52"/>
  <c r="I9" i="52"/>
  <c r="B9" i="52"/>
  <c r="I8" i="52"/>
  <c r="B8" i="52"/>
  <c r="I7" i="52"/>
  <c r="B7" i="52"/>
  <c r="B6" i="52"/>
  <c r="B5" i="52"/>
  <c r="B4" i="52"/>
  <c r="B3" i="52"/>
  <c r="D30" i="3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STANDARDS" description="Connection to the 'STANDARDS' query in the workbook." type="5" refreshedVersion="2" background="1" saveData="1">
    <dbPr connection="Provider=Microsoft.Mashup.OleDb.1;Data Source=$Workbook$;Location=STANDARDS;Extended Properties=&quot;&quot;" command="SELECT * FROM [STANDARDS]"/>
  </connection>
</connections>
</file>

<file path=xl/sharedStrings.xml><?xml version="1.0" encoding="utf-8"?>
<sst xmlns="http://schemas.openxmlformats.org/spreadsheetml/2006/main" count="2789" uniqueCount="1098">
  <si>
    <t>Audit Format Number</t>
  </si>
  <si>
    <t>Format Name</t>
  </si>
  <si>
    <t>Revision</t>
  </si>
  <si>
    <t>Remarks</t>
  </si>
  <si>
    <t>AUD-F-01</t>
  </si>
  <si>
    <t>Query Follow up</t>
  </si>
  <si>
    <t>Refer Separate File</t>
  </si>
  <si>
    <t>AUD-F-02</t>
  </si>
  <si>
    <t>Request for Proposal cum Application Form</t>
  </si>
  <si>
    <t>Rev.:01</t>
  </si>
  <si>
    <t>AUD-F-03 &amp; AUD-F-03-01</t>
  </si>
  <si>
    <t>Application Review &amp; Audit Planning</t>
  </si>
  <si>
    <t>Rev.: 02</t>
  </si>
  <si>
    <t>AUD-F-03A</t>
  </si>
  <si>
    <t>Audit Planning for 3 years</t>
  </si>
  <si>
    <t>Rev.: 01</t>
  </si>
  <si>
    <t>AD-F-03</t>
  </si>
  <si>
    <t>Auditor(s) Declaration</t>
  </si>
  <si>
    <t>AUD-F-05 &amp; AUD-F-06</t>
  </si>
  <si>
    <t>Audit Plan Stage 1 &amp; Audit Schedule Stage 1</t>
  </si>
  <si>
    <t>AUD-F-07 S1</t>
  </si>
  <si>
    <t>Opening &amp; Closing Meeting Attendants</t>
  </si>
  <si>
    <t>AUD-F-07 S2</t>
  </si>
  <si>
    <t>AUD-F-08</t>
  </si>
  <si>
    <t>N/A</t>
  </si>
  <si>
    <t xml:space="preserve">AUD-F-09 </t>
  </si>
  <si>
    <t>Stage 1 Audit Report</t>
  </si>
  <si>
    <t>AUD-F-10</t>
  </si>
  <si>
    <t>AUD-F-11</t>
  </si>
  <si>
    <t>AUD-F-11-Audit Plan (Stage 2)</t>
  </si>
  <si>
    <t>AUD-F-12</t>
  </si>
  <si>
    <t>Audit Schedule (Stage 2)</t>
  </si>
  <si>
    <t>AUD-F-13</t>
  </si>
  <si>
    <t>AUD-F-14</t>
  </si>
  <si>
    <t xml:space="preserve">AUD-F-15 </t>
  </si>
  <si>
    <t>Audit Report (Stage 2)</t>
  </si>
  <si>
    <t>AUD-F-16</t>
  </si>
  <si>
    <t xml:space="preserve">Request for Corrective Action </t>
  </si>
  <si>
    <t>AUD-F-17</t>
  </si>
  <si>
    <t xml:space="preserve">Corrective Action Report </t>
  </si>
  <si>
    <t>Separate File</t>
  </si>
  <si>
    <t>AUD-F-21</t>
  </si>
  <si>
    <t>Draft for Certificate Approval</t>
  </si>
  <si>
    <t>AUD-F-18</t>
  </si>
  <si>
    <t>AUD-F-19</t>
  </si>
  <si>
    <t>AUD-F-20</t>
  </si>
  <si>
    <t>AUD-F-22</t>
  </si>
  <si>
    <t>AUD-F-23</t>
  </si>
  <si>
    <t>Index</t>
  </si>
  <si>
    <t>REFNO</t>
  </si>
  <si>
    <t>Name of Organization</t>
  </si>
  <si>
    <t xml:space="preserve">Address </t>
  </si>
  <si>
    <t>Additional Sites / Addresses, If any</t>
  </si>
  <si>
    <t>Contact Numbers</t>
  </si>
  <si>
    <t>Email Id</t>
  </si>
  <si>
    <t>Contact Person</t>
  </si>
  <si>
    <t>Designation</t>
  </si>
  <si>
    <t>Mode of Working (i.e Online/Onsite/Hybrid)</t>
  </si>
  <si>
    <t>In-case of Hybrid, Core activities Online or Onsite?</t>
  </si>
  <si>
    <t>Scope of Certification</t>
  </si>
  <si>
    <t>Main Processes / Activities</t>
  </si>
  <si>
    <t>Outsourced Processes, if any</t>
  </si>
  <si>
    <t>Standard(s)</t>
  </si>
  <si>
    <t>ISO 9001:2015</t>
  </si>
  <si>
    <t>ISO 14001:2015</t>
  </si>
  <si>
    <t>ISO 45001:2018</t>
  </si>
  <si>
    <t>ISO 22000:2018</t>
  </si>
  <si>
    <t>ISO 27001:2022</t>
  </si>
  <si>
    <t>ISO/IEC 27701:2025</t>
  </si>
  <si>
    <t>Others</t>
  </si>
  <si>
    <t>ISO/IEC 42001:2023</t>
  </si>
  <si>
    <t>ISO 22301:2019</t>
  </si>
  <si>
    <t>ISO 37001:2016</t>
  </si>
  <si>
    <t>ISO 21001:2018</t>
  </si>
  <si>
    <t>Application Type 
(initial / Surveillance / Re-certification/ Un-Announced / Follow-up )</t>
  </si>
  <si>
    <t xml:space="preserve">No. of Employees </t>
  </si>
  <si>
    <t>Total</t>
  </si>
  <si>
    <t>Contractual</t>
  </si>
  <si>
    <t>Working No. of Shifts</t>
  </si>
  <si>
    <t xml:space="preserve">Activities </t>
  </si>
  <si>
    <t>Full Time</t>
  </si>
  <si>
    <t>Part time</t>
  </si>
  <si>
    <t>Performing Same type of Job</t>
  </si>
  <si>
    <t>Temporary Unskilled workers</t>
  </si>
  <si>
    <t>Effective No. of Employees, Filled by QCC</t>
  </si>
  <si>
    <t>Top Management</t>
  </si>
  <si>
    <t>Production Area/Service</t>
  </si>
  <si>
    <t>Quality Control/Technical</t>
  </si>
  <si>
    <t>Administration</t>
  </si>
  <si>
    <t>Other</t>
  </si>
  <si>
    <t>No. of personnel working away from site?(If applicable)</t>
  </si>
  <si>
    <t>Management System Information(s)</t>
  </si>
  <si>
    <t>1.    Applicable Legal, statuary &amp; regulatory act: 
(i.e., Pvt. Ltd. / Ltd./ Partneship/ propritorship/Labour law)</t>
  </si>
  <si>
    <t>2.    Organization Key Process Area: 
    (i.e., purchase/store/production etc.)</t>
  </si>
  <si>
    <t>3.    Organization Products/Services:  (i.e., abc &amp; xyz products etc.)</t>
  </si>
  <si>
    <t>4.    Any outsourcing process: (i.e., printing etc.)</t>
  </si>
  <si>
    <t>5.    Consultant details, if used for Management System  Preparation:</t>
  </si>
  <si>
    <t>6.     Organization establishment date:      </t>
  </si>
  <si>
    <t>7.     Manual Date</t>
  </si>
  <si>
    <t>8.      Internal audit date (Or planned date):      </t>
  </si>
  <si>
    <t>9.      Management review date (Or planned date):      </t>
  </si>
  <si>
    <t>if org. alredy ISO Certified, write the standards:</t>
  </si>
  <si>
    <t>Certification Body</t>
  </si>
  <si>
    <t>Issue Date:</t>
  </si>
  <si>
    <t>Expiry Date:</t>
  </si>
  <si>
    <t xml:space="preserve">Is Internal Audit is Combined:                                                                                                                                                      Yes                        No    </t>
  </si>
  <si>
    <t>Percentage level of integration (decided by QCC)</t>
  </si>
  <si>
    <t>Annual Energy Consumption (Unit KWH etc.): </t>
  </si>
  <si>
    <t xml:space="preserve"> Number of EnMS Effective Personnels:</t>
  </si>
  <si>
    <t>Name &amp; Number of Energy Sources:      </t>
  </si>
  <si>
    <t xml:space="preserve"> Name &amp; Number of significant energy uses (SEUs):      </t>
  </si>
  <si>
    <t>Select Condition of your location, If non of below then specify here:</t>
  </si>
  <si>
    <t>Special countermeasure area</t>
  </si>
  <si>
    <t>Protection area of source water</t>
  </si>
  <si>
    <t>Industrial complex</t>
  </si>
  <si>
    <t>City</t>
  </si>
  <si>
    <t>Operating air emission facility: YES/NO</t>
  </si>
  <si>
    <t>Operating waste water treatment facility? Y/N</t>
  </si>
  <si>
    <t>Kind of wastes &amp; amount (Ton/year):  </t>
  </si>
  <si>
    <t>Usage of hazardous chemical substances ? Y/N</t>
  </si>
  <si>
    <t>Does you have Pollution Clearance from local authorities?  YES / NO</t>
  </si>
  <si>
    <t xml:space="preserve">Does you have more than 5 critical environmental aspect or OHSAS risks? (ex: air, water, waste, noise, chemical, soil) </t>
  </si>
  <si>
    <t>Details of the Environemental Aspects (if More Than 5 critical aspect)</t>
  </si>
  <si>
    <t>How many no. of personnel working on site?</t>
  </si>
  <si>
    <t>How many no. of personnel working away from site?</t>
  </si>
  <si>
    <t>What are the risks for personnel working away from the site?</t>
  </si>
  <si>
    <t>Details of the OHSMS Significant RiSK (if More Than 5 critical OHSMS RiSK)</t>
  </si>
  <si>
    <t>Does your organization is not regulated by the law and don’t need any license?  YES / NO</t>
  </si>
  <si>
    <t>OHSMS risks associated with processes, the main hazardous materials used in the processes.</t>
  </si>
  <si>
    <t>Does your organization have any accident related to environment or OHSAS in recent 3 years? YES / NO</t>
  </si>
  <si>
    <t>Number of Sites to be Audited?</t>
  </si>
  <si>
    <t>Have you implemented HACCP Principles?</t>
  </si>
  <si>
    <t>Any seasonality issues?</t>
  </si>
  <si>
    <t>Total No of HACCP Studies (As per ISO/TS 22003:2013)</t>
  </si>
  <si>
    <t xml:space="preserve">How many process lines are there in production </t>
  </si>
  <si>
    <t xml:space="preserve">FSSAI License Registration No: </t>
  </si>
  <si>
    <t>What is Level of automation (Manual Operation, Semi-Automatic Operation, Fully Automatic Operation)</t>
  </si>
  <si>
    <t>Does the organization has closed Production System?</t>
  </si>
  <si>
    <t>Does the organization has mechanized Operation?</t>
  </si>
  <si>
    <t>What is the labour intensiveness( Low, Medium, High)?</t>
  </si>
  <si>
    <t xml:space="preserve">1. SOA Version No. _                                                           Date of implement: _______________
2. Any outsourced process (i.e., IT / Data Centre/Server) _____________
3. Have you done Risk Assessment &amp; Risk Treatment, If yes on which date ___________
</t>
  </si>
  <si>
    <t>A. Type(s) of business and regulatory requirements</t>
  </si>
  <si>
    <t xml:space="preserve">1. Organization works in non-critical business sectors and non-regulated sectors;
02. Organization has customers in critical business sectors; 
03. Organization works in critical business sectors.
</t>
  </si>
  <si>
    <t>B. Process and tasks</t>
  </si>
  <si>
    <t xml:space="preserve">1. Standard processes with standard and repetitive tasks; lots of persons doing work 
           under the organization’s control carrying out the same tasks; few products or services
02. Standard but non-repetitive processes, with high number of products or services
   03. Complex processes, high number of products and services, many businesses units
included in the scope of certification (ISMS cover highly complex processes or relatively high number or unique activities).
</t>
  </si>
  <si>
    <t>C. Level of establishment of the MS</t>
  </si>
  <si>
    <t xml:space="preserve">1. ISMS is already well established and/or other management systems are in place
02. Some elements of other management systems are implemented, others not
03. No other management system implemented at all, the ISMS is new and not
established.
</t>
  </si>
  <si>
    <t>A. IT infrastructure complexity</t>
  </si>
  <si>
    <t xml:space="preserve">1. Few or highly standardized IT platforms, servers, operating systems, databases,
networks, etc
02. Several different IT platforms, servers, operating systems, databases, networks
03. Many different IT platforms, servers, operating systems, databases, networks
</t>
  </si>
  <si>
    <t>B. Dependency on outsourcing and suppliers, including cloud services:</t>
  </si>
  <si>
    <t xml:space="preserve">1. Little or no dependency on outsourcing or suppliers
02. Some dependency on outsourcing or suppliers, related to some but not all
important business activities
03. High dependency on outsourcing or suppliers, large impact on important business
activities.
</t>
  </si>
  <si>
    <t>C. Information System development:</t>
  </si>
  <si>
    <t xml:space="preserve">1. None or a very limited in-house system/application development
02. Some in-house or outsourced system/application development for some important
business purposes
03. Extensive in-house or outsourced system/application development for important
business purposes.
</t>
  </si>
  <si>
    <t>Confirmation of access to organizational records</t>
  </si>
  <si>
    <t>Business complexity [Please select type of complexity in your org. as per A, B, C, chose any no. from I or II or III or IV or V or VI]</t>
  </si>
  <si>
    <t>A) Role of the organization (PII Controller / PII Processor)</t>
  </si>
  <si>
    <t>What is the organization’s role for each activity, product, or service within the PIMS scope?</t>
  </si>
  <si>
    <t xml:space="preserve">PII Controller
PII Processor
Both PII Controller and PII Processor
Not applicable (justified)
</t>
  </si>
  <si>
    <t>B) Identification of PII principals</t>
  </si>
  <si>
    <t>Which categories of PII principals’ data are processed for activities, products, or services within scope?</t>
  </si>
  <si>
    <t>Employees
Customers
Suppliers / Vendors
Contractors
Website users / prospects
Other (specify): ___________</t>
  </si>
  <si>
    <t>C) Statement of Applicability (SoA) – PIMS</t>
  </si>
  <si>
    <t>What is the current status of the organization’s PIMS Statement of Applicability (SoA)?</t>
  </si>
  <si>
    <t>SoA established and approved
SoA version documented:-------
SoA reviewed and updated periodically
SoA not established (nonconformity)</t>
  </si>
  <si>
    <t>D) Confidential / Sensitive Information Availability</t>
  </si>
  <si>
    <t>Is any PIMS-related information (such as PIMS records or information on the design and effectiveness of controls) not made available to the audit team due to confidentiality or sensitivity?</t>
  </si>
  <si>
    <t>No, all required information is available for audit review
Yes, some information is restricted due to confidentiality or sensitivity
Yes, information is restricted and alternative evidence has been provided
Not applicable</t>
  </si>
  <si>
    <t>E) PIMS Conformance to ISO/IEC 27701</t>
  </si>
  <si>
    <t>Does the client have a documented and implemented Privacy Information Management System (PIMS) that conforms to the requirements of ISO/IEC 27701?</t>
  </si>
  <si>
    <t>Yes, PIMS is documented and implemented and conforms to ISO/IEC 27701
Partially documented / implemented (not acceptable for certification)
No, PIMS is not documented and/or not implemented (application not acceptable)</t>
  </si>
  <si>
    <t>PII Processing Risk Classification (For Audit Time Calculation)
Select the applicable option(s): High / Medium / Low</t>
  </si>
  <si>
    <t>PII processing 
risks</t>
  </si>
  <si>
    <t>Classification for audit time calculation</t>
  </si>
  <si>
    <t>High Risk PII Processing</t>
  </si>
  <si>
    <t>Medium Risk PII Processing</t>
  </si>
  <si>
    <t>Low Risk PII Processing</t>
  </si>
  <si>
    <t>Classification of PII</t>
  </si>
  <si>
    <t>PII processing involves one or more of the following:
Highly sensitive or special category PII
Mandatory DPIA or similar risk assessment required
Large volume of sensitive/special category PII
PII of vulnerable individuals
National identifiers (e.g., Aadhaar, NI number, passport)
Bank account, financial or biometric information</t>
  </si>
  <si>
    <t>PII processing involves one or more of the following:
Large volumes of general PII including some special category data (e.g., HR data)
Financial or identification data without large-scale exposure
Pseudonymized PII that can be reversed to identify individuals
Combination of multiple PII data sets</t>
  </si>
  <si>
    <t>PII processing involves one or more of the following:
General, non-sensitive PII
Limited HR-related PII
Encrypted PII with strong key management
De-identified or anonymized data that cannot be reasonably re-identified</t>
  </si>
  <si>
    <t>High Risk PII Transfer</t>
  </si>
  <si>
    <t>Medium Risk PII Transfer</t>
  </si>
  <si>
    <t>Low Risk PII Transfer</t>
  </si>
  <si>
    <t>Transfer of PII</t>
  </si>
  <si>
    <t>Transfer of PII across multiple jurisdictions or countries
Cross-border transfers without uniform legal frameworks
Reliance on multiple transfer mechanisms</t>
  </si>
  <si>
    <t>Transfer of PII within the same jurisdiction or aligned geographies
Use of approved mechanisms (e.g., binding corporate rules, SCCs)
Encryption used during PII transfer</t>
  </si>
  <si>
    <t>No cross-border PII transfer
PII processed and stored within a single jurisdiction
Transfers limited to internal systems with controlled access</t>
  </si>
  <si>
    <t>High Complexity Processing</t>
  </si>
  <si>
    <t>Medium Complexity Processing</t>
  </si>
  <si>
    <t>Low Complexity Processing</t>
  </si>
  <si>
    <t>Complexity of PII Processing</t>
  </si>
  <si>
    <t>PII processing includes one or more of the following:
PII profiling for commercial or behavioral purposes
Data mining or large-scale analytics
Automated decision-making affecting individuals
Multiple regulations and legislations applicable
Operations across multiple jurisdictions
Multiple processes using different platforms and systems</t>
  </si>
  <si>
    <t>PII processing includes one or more of the following:
PII profiling for internal or operational purposes
Sector-specific regulatory requirements
Operations across multiple locations within the same jurisdiction
Multiple processes using common platforms</t>
  </si>
  <si>
    <t>PII processing includes one or more of the following:
General, routine processing of PII
Single operational location
One or two simple processes
Use of a single or limited number of platforms</t>
  </si>
  <si>
    <t>Operational Risk Classification (For Audit Time Calculation)
Select the applicable option(s): High / Medium / Low</t>
  </si>
  <si>
    <t>Operational Risk</t>
  </si>
  <si>
    <t>High Operational Risk</t>
  </si>
  <si>
    <t>Medium Operational Risk</t>
  </si>
  <si>
    <t>Low Operational Risk</t>
  </si>
  <si>
    <t>Number of Persons Processing / Accessing PII</t>
  </si>
  <si>
    <t>Approximately 100% of personnel within the certification scope process or have access to PII</t>
  </si>
  <si>
    <t>Approximately 50% to 75% of personnel within the certification scope process or have access to PII</t>
  </si>
  <si>
    <t>Less than 25% of personnel within the certification scope process or have access to PII</t>
  </si>
  <si>
    <t>Volume of PII Principal Data (Number of Records)</t>
  </si>
  <si>
    <t>High volume of PII records (&gt; 1 billion)
Multiple independent PII data sets</t>
  </si>
  <si>
    <t>Moderate volume of PII records (&gt; 1 million)
Limited number of PII data sets</t>
  </si>
  <si>
    <t>Low volume of PII records (&lt; 100,000)
One or two PII data sets only</t>
  </si>
  <si>
    <t>Number of ISO/IEC 27701 Annex A Controls Implemented (A.1, A.2, A.3)</t>
  </si>
  <si>
    <t>All applicable Annex A controls (A.1, A.2, A.3) implemented</t>
  </si>
  <si>
    <t>Approximately 70% of applicable Annex A controls implemented</t>
  </si>
  <si>
    <t>Less than 30% of applicable Annex A controls implemented</t>
  </si>
  <si>
    <t>ISO/IEC 42001:2023 Artificial Intelligence Management Systems (AIMS) – Additional Details</t>
  </si>
  <si>
    <t>Please select the applicable type(s) of complexity by ticking the appropriate option</t>
  </si>
  <si>
    <t>A. Availability of Documentation</t>
  </si>
  <si>
    <t xml:space="preserve">Customer as a role:                   AI Producer and AI Customer or                AI Provider &amp; AI Customer </t>
  </si>
  <si>
    <t>Is there any information can not be made available for review by the audit team because it content confidencial or sensitive information?</t>
  </si>
  <si>
    <t>Table B 1 — Classification of factors for adjustment of audit time</t>
  </si>
  <si>
    <t>Factor for Adjustment of Audit Time</t>
  </si>
  <si>
    <t>Normal Effort (✔)</t>
  </si>
  <si>
    <t>Increased Effort (✔)</t>
  </si>
  <si>
    <t>Number of regulatory frameworks within AIMS scope</t>
  </si>
  <si>
    <t>Only one regulatory framework applies</t>
  </si>
  <si>
    <t>More than one regulatory framework applies</t>
  </si>
  <si>
    <t>Number of AI systems within AIMS scope</t>
  </si>
  <si>
    <t>One or few AI systems with similar functionality</t>
  </si>
  <si>
    <t>Multiple AI systems or diverse AI applications</t>
  </si>
  <si>
    <t>High-risk or sensitive AI systems</t>
  </si>
  <si>
    <t>No high-risk or sensitive AI use</t>
  </si>
  <si>
    <t>AI systems involving safety, human rights, personal data, or critical decisions</t>
  </si>
  <si>
    <t>Number of third-party agreements within AIMS scope</t>
  </si>
  <si>
    <t>None or very few third-party agreements</t>
  </si>
  <si>
    <t>Multiple third-party or outsourced AI service providers</t>
  </si>
  <si>
    <t>Controls defined in Statement of Applicability (SoA)</t>
  </si>
  <si>
    <t>Controls aligned only with ISO/IEC 42001 Annex A</t>
  </si>
  <si>
    <t>Additional controls beyond ISO/IEC 42001 Annex A</t>
  </si>
  <si>
    <t>For surveillance or re-certification audit</t>
  </si>
  <si>
    <t>Changes since last audit (for surveillance / recertification)</t>
  </si>
  <si>
    <t>Minor or no changes to AIMS</t>
  </si>
  <si>
    <t>Major changes in scope, AI systems, or governance</t>
  </si>
  <si>
    <t>AI system lifecycle complexity</t>
  </si>
  <si>
    <t>Simple lifecycle with limited changes</t>
  </si>
  <si>
    <t>Frequent updates, retraining, or deployment changes</t>
  </si>
  <si>
    <t>Organizational scale and structure</t>
  </si>
  <si>
    <t>Single-site or centralized operations</t>
  </si>
  <si>
    <t>Multi-site or distributed organizational structure</t>
  </si>
  <si>
    <t>Data sensitivity and privacy exposure</t>
  </si>
  <si>
    <t>Non-personal or anonymized data only</t>
  </si>
  <si>
    <t>Personal, sensitive, or regulated data involved</t>
  </si>
  <si>
    <t>Step 2 – Adjustment Factors (Based on Table B)</t>
  </si>
  <si>
    <t>Adjustment Factor</t>
  </si>
  <si>
    <t>Description</t>
  </si>
  <si>
    <t>Additive Audit Time</t>
  </si>
  <si>
    <t>Number of regulatory frameworks</t>
  </si>
  <si>
    <t>Two regulatory frameworks applicable</t>
  </si>
  <si>
    <t>Number of AI systems</t>
  </si>
  <si>
    <t>One AI system</t>
  </si>
  <si>
    <t>High-risk / sensitive AI purpose</t>
  </si>
  <si>
    <t>Automotive (safety-critical)</t>
  </si>
  <si>
    <t>Third-party agreements</t>
  </si>
  <si>
    <t>Two third-party providers</t>
  </si>
  <si>
    <t>Additional controls beyond ISO/IEC 42001</t>
  </si>
  <si>
    <t>Two additional controls</t>
  </si>
  <si>
    <t>Step 3 – Total Audit Time Calculation</t>
  </si>
  <si>
    <t>Audit Days</t>
  </si>
  <si>
    <t>Base audit time (from Table A)</t>
  </si>
  <si>
    <t>Total additional audit time</t>
  </si>
  <si>
    <t>Final audit time</t>
  </si>
  <si>
    <t>Auditor days</t>
  </si>
  <si>
    <t>Effective Number of employees under ABMS</t>
  </si>
  <si>
    <t xml:space="preserve">Low (Financial and other Transition in limited business, Few stakeholders, no public delivery services, etc.) </t>
  </si>
  <si>
    <t>Medium (Financial and other Transition at larger Scale, Many stakeholders, no public delivery services, etc.)</t>
  </si>
  <si>
    <t>High (Financial &amp; other Transition at larger Scale, National, International &amp; Government bodies stakeholders, Public delivery services, etc.)</t>
  </si>
  <si>
    <t>staff employed by the organization;(Including Acadamic and Non-Acadamic)</t>
  </si>
  <si>
    <t>volunteers and interns working with or contributing to the organization;</t>
  </si>
  <si>
    <t>staff of external providers working with or contributing to the organization.</t>
  </si>
  <si>
    <t>Other Supporting staff like: (admin, support, maintenance, canteen, etc)</t>
  </si>
  <si>
    <t xml:space="preserve">TOTAL </t>
  </si>
  <si>
    <t xml:space="preserve">Low (Coaching and Entrance exam preparation Centres &amp; Institutes Educational organizations — Management systems, etc.) </t>
  </si>
  <si>
    <t>Medium (All Educational school under State, Central Government  approved through concern Educational Bords (national or international) All other types of business sectors not covered under High or Low Risks)</t>
  </si>
  <si>
    <t>High (Management Courses Institutes (national or international)Technical Courses Institute (national or international) University and Professional Courses Institutes  (national or international), etc.)</t>
  </si>
  <si>
    <t>Management</t>
  </si>
  <si>
    <t>A representative number of sites have been sampled by the QCC, taking into account:</t>
  </si>
  <si>
    <t>1) the results of internal audits of the central office (if appropriate) and the sites;</t>
  </si>
  <si>
    <t>2) the results of management review;</t>
  </si>
  <si>
    <t>3) variations in the size of the sites;</t>
  </si>
  <si>
    <t>4) variations in the business purpose of the sites;</t>
  </si>
  <si>
    <t>5) complexity of the information systems at the different sites;</t>
  </si>
  <si>
    <t>6) variations in working practices;</t>
  </si>
  <si>
    <t>7) variations in activities undertaken;</t>
  </si>
  <si>
    <t>8) variations of design and operation of controls;</t>
  </si>
  <si>
    <t>9) potential interaction with critical information systems or information systems processing sensitive information;</t>
  </si>
  <si>
    <t>10) any differing legal requirements;</t>
  </si>
  <si>
    <t>11) geographical and cultural aspects;</t>
  </si>
  <si>
    <t>12) risk situation of the sites;</t>
  </si>
  <si>
    <t>13) information security incidents at the specific sites.</t>
  </si>
  <si>
    <t>Please write the below answers:</t>
  </si>
  <si>
    <t>A-are same corporate?</t>
  </si>
  <si>
    <t>B-are actually implementing same activity in control?</t>
  </si>
  <si>
    <t>C-have same CEO?</t>
  </si>
  <si>
    <t>D-are using same quality system and procedure?</t>
  </si>
  <si>
    <t>* Please attach detail information about multi-site (Total site no./size and location of each site)</t>
  </si>
  <si>
    <t>In case, if you have more site’s, kindly fill this annexure per site.</t>
  </si>
  <si>
    <t>Date:</t>
  </si>
  <si>
    <t>Representative Name</t>
  </si>
  <si>
    <t xml:space="preserve">               Review (To be filled by QUALITY CONTROL CERTIFICATION)</t>
  </si>
  <si>
    <t>Acceptance, Ref. No</t>
  </si>
  <si>
    <t>Not Acceptance-------------------------------------------</t>
  </si>
  <si>
    <t>Supplement information, if needed: ------------------------------------</t>
  </si>
  <si>
    <t>Application Review &amp; Audit Planning
(This was completely based on Request of Proposal)</t>
  </si>
  <si>
    <t>ID NO.</t>
  </si>
  <si>
    <t>Organization Name</t>
  </si>
  <si>
    <t>Address</t>
  </si>
  <si>
    <t>Standard</t>
  </si>
  <si>
    <t>Contact person</t>
  </si>
  <si>
    <t>No. of Persons under Certification</t>
  </si>
  <si>
    <t xml:space="preserve">Audit Type - 1 </t>
  </si>
  <si>
    <t>Stage I</t>
  </si>
  <si>
    <t xml:space="preserve">Audit Type -2 </t>
  </si>
  <si>
    <t>Stage II</t>
  </si>
  <si>
    <t>Audit Standard(s)</t>
  </si>
  <si>
    <t>Mode Of Audit</t>
  </si>
  <si>
    <t>If Online, Provide meeting link</t>
  </si>
  <si>
    <t>Scope of certification</t>
  </si>
  <si>
    <t>IAF MD 5:2023
ANNEX A – QUALITY MANAGEMENT SYSTEMS
Table QMS 1 – Quality Management Systems
Relationship between Effective Number of Personnel and Audit Time
(Initial Audit only)</t>
  </si>
  <si>
    <t>Audit Language</t>
  </si>
  <si>
    <t>English</t>
  </si>
  <si>
    <t>Effective Number of Personnel</t>
  </si>
  <si>
    <t>Audit Time Stage 1 + Stage 2 (days)</t>
  </si>
  <si>
    <t>IAF CODE</t>
  </si>
  <si>
    <t>For transfer</t>
  </si>
  <si>
    <t>All the nonconformities were closed out by the existing certification body?</t>
  </si>
  <si>
    <t>1–5</t>
  </si>
  <si>
    <t>626–875</t>
  </si>
  <si>
    <t>If no, describe the reason(s)</t>
  </si>
  <si>
    <t>6–10</t>
  </si>
  <si>
    <t>876–1175</t>
  </si>
  <si>
    <t>Transfer from IAF member CB</t>
  </si>
  <si>
    <t>Certificate Validity Date</t>
  </si>
  <si>
    <t>11–15</t>
  </si>
  <si>
    <t>1176–1550</t>
  </si>
  <si>
    <t>Risk (H/M/L)</t>
  </si>
  <si>
    <t>16–25</t>
  </si>
  <si>
    <t>1551–2025</t>
  </si>
  <si>
    <t>Audit Team Details</t>
  </si>
  <si>
    <t>26–45</t>
  </si>
  <si>
    <t>2026–2675</t>
  </si>
  <si>
    <t>Name</t>
  </si>
  <si>
    <t>Role</t>
  </si>
  <si>
    <t>Audit Man days</t>
  </si>
  <si>
    <t>46–65</t>
  </si>
  <si>
    <t>2676–3450</t>
  </si>
  <si>
    <t>Stage-1</t>
  </si>
  <si>
    <t>Stage-2</t>
  </si>
  <si>
    <t>66–85</t>
  </si>
  <si>
    <t>3451–4350</t>
  </si>
  <si>
    <t>Lead Auditor</t>
  </si>
  <si>
    <t>86–125</t>
  </si>
  <si>
    <t>4351–5450</t>
  </si>
  <si>
    <t>Auditor</t>
  </si>
  <si>
    <t>126–175</t>
  </si>
  <si>
    <t>5451–6800</t>
  </si>
  <si>
    <t>176–275</t>
  </si>
  <si>
    <t>6801–8500</t>
  </si>
  <si>
    <t>Application reviewer &amp; report reviewer</t>
  </si>
  <si>
    <t>276–425</t>
  </si>
  <si>
    <t>8501–10700</t>
  </si>
  <si>
    <t>Final Ceeertification Decesion by HOD</t>
  </si>
  <si>
    <t>426–625</t>
  </si>
  <si>
    <t>&gt;10700</t>
  </si>
  <si>
    <t>Follow progression above</t>
  </si>
  <si>
    <t>Total Audit Mandays</t>
  </si>
  <si>
    <t>Total Audit Mandays (Stage1 + Stage2)</t>
  </si>
  <si>
    <t>Total Audit Mandays (Stage1 + Stage2) (Audit Mandays Calculated as per IAF MD 5)</t>
  </si>
  <si>
    <t>Audit Dates</t>
  </si>
  <si>
    <t>Stage-1 Audit Dates (Tentative)</t>
  </si>
  <si>
    <t>Stage-2 / Other Audit Dates (Tentative)</t>
  </si>
  <si>
    <t>To</t>
  </si>
  <si>
    <t xml:space="preserve">I confirm that I don't have any relevant interest of below:
            -  I didn't work with applied / client organization in recent two years.
            -  I and QCC didn't supply any consulting, training and internal audit for applied / client organization in recent two years.
</t>
  </si>
  <si>
    <t xml:space="preserve"> Reviewer Name</t>
  </si>
  <si>
    <t>＊Verification (if applicable) name</t>
  </si>
  <si>
    <t>Brijesh Kumar</t>
  </si>
  <si>
    <t>Date</t>
  </si>
  <si>
    <t>Quality Control Certification      AUD-F-03- Application Review &amp; AUD-F-03-01 Audit Planning/ Rev.: 02</t>
  </si>
  <si>
    <t>Sub-Clause / Audit Area</t>
  </si>
  <si>
    <t>INITIAL AUDIT</t>
  </si>
  <si>
    <t>Client-Specific Audit Focus</t>
  </si>
  <si>
    <t>Surveillance-I</t>
  </si>
  <si>
    <t>Surveillance-II</t>
  </si>
  <si>
    <t>Recertification</t>
  </si>
  <si>
    <t>ISO 9001</t>
  </si>
  <si>
    <t>□</t>
  </si>
  <si>
    <t>4.2 Needs and Expectations of Interested Parties</t>
  </si>
  <si>
    <t>4.3 Scope of Management System</t>
  </si>
  <si>
    <t>4.4 Management System and its Processes</t>
  </si>
  <si>
    <t>5.1 Leadership and Commitment</t>
  </si>
  <si>
    <t>5.2 Policy</t>
  </si>
  <si>
    <t>5.3 Roles, Responsibilities and Authorities</t>
  </si>
  <si>
    <t>6.1 Actions to Address Risks and Opportunities</t>
  </si>
  <si>
    <t>6.2 Objectives and Planning to Achieve Them</t>
  </si>
  <si>
    <t>6.3 Planning of Changes</t>
  </si>
  <si>
    <t>7.1 Resources</t>
  </si>
  <si>
    <t>7.2 Competence</t>
  </si>
  <si>
    <t>7.3 Awareness</t>
  </si>
  <si>
    <t>7.4 Communication</t>
  </si>
  <si>
    <t>7.5 Documented Information</t>
  </si>
  <si>
    <t>8.1 Operational Planning and Control</t>
  </si>
  <si>
    <t>8.2 Requirements for Products and Services</t>
  </si>
  <si>
    <t>8.3 Design and Development</t>
  </si>
  <si>
    <t>8.4 Control of Externally Provided Processes, Products and Services</t>
  </si>
  <si>
    <t>8.5 Production and Service Provision</t>
  </si>
  <si>
    <t>8.6 Release of Products and Services</t>
  </si>
  <si>
    <t>8.7 Control of Nonconforming Outputs</t>
  </si>
  <si>
    <t>9.1 Monitoring, Measurement, Analysis and Evaluation</t>
  </si>
  <si>
    <t>9.1.2 Customer Satisfaction / Customer Feedback</t>
  </si>
  <si>
    <t>9.2 Internal Audit</t>
  </si>
  <si>
    <t>9.3 Management Review</t>
  </si>
  <si>
    <t>10.1 Improvement / Continual Improvement</t>
  </si>
  <si>
    <t>10.2 Nonconformity and Corrective Action</t>
  </si>
  <si>
    <t>10.3 Continual Improvement / Update of FSMS</t>
  </si>
  <si>
    <t>Quality Control Certification       AUD-F-03A-Audit Planning for 3 years / Rev.: 01</t>
  </si>
  <si>
    <t xml:space="preserve">• I confirm that I don't have any relevant interest of below:
            -  I didn't work with applied / client organization in recent two years.
            -  I and QCC didn't supply any consulting and internal audit for applied / client organization
               in recent two years.
• I will act in accordance with QCC policy &amp; procedures and won't reveal any secret information without approval of QCC and interested parties, conduct activities in accurate and impartial manner. 
• I will keep all other gained information through audit as confidential.
• I shall perform my duties in accordance with ISO 19011.
</t>
  </si>
  <si>
    <t>I assure that if different from above, I'll be responsible for all relevant matters.</t>
  </si>
  <si>
    <t>Roles</t>
  </si>
  <si>
    <t>Signature</t>
  </si>
  <si>
    <t>Quality Control Certification      AD-F-03-Auditor(s) Declaration / Rev.: 01</t>
  </si>
  <si>
    <t>Audit Plan (Stage-1)</t>
  </si>
  <si>
    <t>ID NO</t>
  </si>
  <si>
    <t>Contact Details</t>
  </si>
  <si>
    <t>Type of the audit</t>
  </si>
  <si>
    <t>Audit Plan Date</t>
  </si>
  <si>
    <t>Audit Date</t>
  </si>
  <si>
    <t>TO</t>
  </si>
  <si>
    <t>1.11</t>
  </si>
  <si>
    <t xml:space="preserve">Applicable IAF / EA Code </t>
  </si>
  <si>
    <t>Audit Objectives</t>
  </si>
  <si>
    <r>
      <rPr>
        <b/>
        <sz val="11"/>
        <color rgb="FF000000"/>
        <rFont val="Calibri"/>
        <charset val="134"/>
        <scheme val="minor"/>
      </rPr>
      <t>Audit Objectives</t>
    </r>
    <r>
      <rPr>
        <sz val="11"/>
        <color rgb="FF000000"/>
        <rFont val="Calibri"/>
        <charset val="134"/>
        <scheme val="minor"/>
      </rPr>
      <t xml:space="preserve">
Judging the availability to 2nd assessment by checking system conformity and performance status regarding policy and objective.
1. Conformity of documents regarding developed system.
2. Review internal audit and management review records.
3. Site-specific conditions, process and equipments used.
4. Applicable statutory and regulatory requirements.</t>
    </r>
  </si>
  <si>
    <t>Language of audit:</t>
  </si>
  <si>
    <t>Competency / Standard Covered</t>
  </si>
  <si>
    <t>Stage-1 Man-days</t>
  </si>
  <si>
    <r>
      <rPr>
        <b/>
        <sz val="11"/>
        <color rgb="FF000000"/>
        <rFont val="Calibri"/>
        <charset val="134"/>
        <scheme val="minor"/>
      </rPr>
      <t xml:space="preserve">Note: </t>
    </r>
    <r>
      <rPr>
        <sz val="11"/>
        <color rgb="FF000000"/>
        <rFont val="Calibri"/>
        <charset val="134"/>
        <scheme val="minor"/>
      </rPr>
      <t xml:space="preserve">
1. In case, if you have any objection regarding this plan, must inform us with 48 hr. otherwise this plan considered as accepted.
2. negative results of stage 1 may lead to postponement of cancelation of Stage 2 Audit.
Attachment  
□ Audit / visiting schedule 
</t>
    </r>
  </si>
  <si>
    <r>
      <rPr>
        <b/>
        <sz val="11"/>
        <color rgb="FF000000"/>
        <rFont val="Calibri"/>
        <charset val="134"/>
        <scheme val="minor"/>
      </rPr>
      <t>Lead Auditor / Team Leader</t>
    </r>
    <r>
      <rPr>
        <sz val="11"/>
        <color rgb="FF000000"/>
        <rFont val="Calibri"/>
        <charset val="134"/>
        <scheme val="minor"/>
      </rPr>
      <t xml:space="preserve">
Responsibility
1. To supervise and Lead audit team. 
2. To conduct opening &amp; closing meeting.
3. Ensure that audit report is submitted on time.
4. Resolve / communicate issues related to audit process or matters identified during the audit.
5. Guide the audit team during the audit.
6. Audit planning to be sent to clients on time.
</t>
    </r>
  </si>
  <si>
    <r>
      <rPr>
        <b/>
        <sz val="11"/>
        <color rgb="FF000000"/>
        <rFont val="Calibri"/>
        <charset val="134"/>
        <scheme val="minor"/>
      </rPr>
      <t xml:space="preserve">Auditor: </t>
    </r>
    <r>
      <rPr>
        <sz val="11"/>
        <color rgb="FF000000"/>
        <rFont val="Calibri"/>
        <charset val="134"/>
        <scheme val="minor"/>
      </rPr>
      <t xml:space="preserve">
Responsibility
1. Carrying out audits under the guidance of team leader 
2. Preparation and submission of audit reports on time to Lead auditor.
3. Ensuring the code of conduct of QCC
4. Submit report to Team Leader on time and ensure smooth functioning of audit process.
</t>
    </r>
  </si>
  <si>
    <r>
      <rPr>
        <b/>
        <sz val="11"/>
        <color rgb="FF000000"/>
        <rFont val="Calibri"/>
        <charset val="134"/>
        <scheme val="minor"/>
      </rPr>
      <t xml:space="preserve">Technical Experts: </t>
    </r>
    <r>
      <rPr>
        <sz val="11"/>
        <color rgb="FF000000"/>
        <rFont val="Calibri"/>
        <charset val="134"/>
        <scheme val="minor"/>
      </rPr>
      <t xml:space="preserve">
Responsibility
1. Assisting Team Leaders and auditors during the audit as per the audit plan
2. Guide on the technical issues that concerns / affects the assessment of quality of management system of client.
3. Follow the rules and regulations of audit of QCC
4. Advise to audit team on the matters / issues identified during the audit (preparations, Planning or audit) 
</t>
    </r>
  </si>
  <si>
    <r>
      <rPr>
        <b/>
        <sz val="11"/>
        <color rgb="FF000000"/>
        <rFont val="Calibri"/>
        <charset val="134"/>
        <scheme val="minor"/>
      </rPr>
      <t xml:space="preserve">Observer: </t>
    </r>
    <r>
      <rPr>
        <sz val="11"/>
        <color rgb="FF000000"/>
        <rFont val="Calibri"/>
        <charset val="134"/>
        <scheme val="minor"/>
      </rPr>
      <t xml:space="preserve">
1. Follow the rules and regulation of audit of QCC
2. No influence in audit, audit process or outcome of audit.</t>
    </r>
  </si>
  <si>
    <r>
      <rPr>
        <b/>
        <sz val="11"/>
        <color rgb="FF000000"/>
        <rFont val="Calibri"/>
        <charset val="134"/>
        <scheme val="minor"/>
      </rPr>
      <t>Guides:</t>
    </r>
    <r>
      <rPr>
        <sz val="11"/>
        <color rgb="FF000000"/>
        <rFont val="Calibri"/>
        <charset val="134"/>
        <scheme val="minor"/>
      </rPr>
      <t xml:space="preserve">
1. Establishing contacts and timing for interviews;
2. Arranging visits to specific parts of the site or organization;
3. Ensuring that rules concerning site safety and security procedures are known and 
    respected by the audit team members;
4. Witnessing the audit on behalf of the client;
5. Providing clarification or information as requested by an auditor.</t>
    </r>
  </si>
  <si>
    <t>Quality Control Certification       AUD-F-05-Audit Plan Stage 1/ Rev.: 02</t>
  </si>
  <si>
    <t>Audit Schedule (Stage-1)</t>
  </si>
  <si>
    <t>Day &amp; Time
(From - To)</t>
  </si>
  <si>
    <t>Clauses</t>
  </si>
  <si>
    <t>Audit Focus</t>
  </si>
  <si>
    <t>Auditor Name</t>
  </si>
  <si>
    <t>Applicable Standard(s)</t>
  </si>
  <si>
    <t>—</t>
  </si>
  <si>
    <t>Quality Control Certification   AUD-F-06-Audit Schedule Stage 1/ Rev.: 01</t>
  </si>
  <si>
    <t>Attendance List from Opening and Closing Meeting (Stage-1)</t>
  </si>
  <si>
    <t>Audit Date (Stage-1)</t>
  </si>
  <si>
    <t>PARTICIPANTS</t>
  </si>
  <si>
    <t>S.No.</t>
  </si>
  <si>
    <t>Position / Department</t>
  </si>
  <si>
    <t>Opening Meeting (Y/N</t>
  </si>
  <si>
    <t>Closing Meeting (Y/N)</t>
  </si>
  <si>
    <t>Y</t>
  </si>
  <si>
    <t>Quality Control Certification       AUD-F-07-Opening &amp; Closing Meeting Attendants/ Rev.: 01</t>
  </si>
  <si>
    <t>Stage-1 Audit Report - Quality Management System</t>
  </si>
  <si>
    <t>Quality Standards: ISO 9001:2015</t>
  </si>
  <si>
    <t>1. Organization &amp; Audit Details</t>
  </si>
  <si>
    <t>1.1</t>
  </si>
  <si>
    <t/>
  </si>
  <si>
    <t>Applicable Standards</t>
  </si>
  <si>
    <t>Applicable</t>
  </si>
  <si>
    <t>Audit Information</t>
  </si>
  <si>
    <t>1.2</t>
  </si>
  <si>
    <t>Yes</t>
  </si>
  <si>
    <t>Language of audit</t>
  </si>
  <si>
    <t>1.3</t>
  </si>
  <si>
    <t>1.4</t>
  </si>
  <si>
    <t>Online Meeting Link</t>
  </si>
  <si>
    <t>1.5</t>
  </si>
  <si>
    <t>1.6</t>
  </si>
  <si>
    <t>Stage-1 Audit Duration</t>
  </si>
  <si>
    <t>1.7</t>
  </si>
  <si>
    <t>Applicable IAF / EA Code</t>
  </si>
  <si>
    <t>Quoted man-days adequate?</t>
  </si>
  <si>
    <t>1.8</t>
  </si>
  <si>
    <t>Quality Management System</t>
  </si>
  <si>
    <t>2. Audit Team Details</t>
  </si>
  <si>
    <t>Name
Role</t>
  </si>
  <si>
    <t>Standard / Competency
Stage-1 MD</t>
  </si>
  <si>
    <t>Stage-1 MD</t>
  </si>
  <si>
    <t>To review and evaluate the client’s documented Quality Management System, including site-specific conditions, applicable legal/statutory/regulatory/contractual requirements, QMS scope, processes, risks, opportunities, and standard-specific requirements, in order to determine the organization’s preparedness and readiness for the Stage 2 certification audit.</t>
  </si>
  <si>
    <t>Audit Criteria</t>
  </si>
  <si>
    <t>Client QMS Manual, policies, procedures, SOPs, process flow, risk assessment, legal register, objectives, internal audit records, management review records, operational control records, compliance obligations, customer/contractual requirements, and applicable site-specific requirements.</t>
  </si>
  <si>
    <t>Brief about the organization</t>
  </si>
  <si>
    <t>CHANGE DETAILS</t>
  </si>
  <si>
    <t>Audit Duration for Stage 1:</t>
  </si>
  <si>
    <t>Any change in employee detail?</t>
  </si>
  <si>
    <t>Are quoted man-days adequate?</t>
  </si>
  <si>
    <t>Any Change in Scope?</t>
  </si>
  <si>
    <t>Any additional Information:</t>
  </si>
  <si>
    <t>Non-Conformities Raised:</t>
  </si>
  <si>
    <t>Non-Conformity / Observation Summary</t>
  </si>
  <si>
    <t>Minor Non-conformance</t>
  </si>
  <si>
    <t>Major Non-conformance</t>
  </si>
  <si>
    <t>Observation identified</t>
  </si>
  <si>
    <t>OFI identified</t>
  </si>
  <si>
    <t>Overall readiness %</t>
  </si>
  <si>
    <t>Stage-2 Recommendation</t>
  </si>
  <si>
    <t>RECOMMENDATION</t>
  </si>
  <si>
    <t>☐ Recommended proceeding with Stage 2 within agreed timeframe after review of Stage-1 audit results.</t>
  </si>
  <si>
    <t>☐ Recommended not proceeding to Stage 2 until audit evidence has been submitted showing that concerns have been rectified.</t>
  </si>
  <si>
    <t>☐ Recommended not proceeding without a further Stage 1 audit due to severity of concerns raised by the audit team.</t>
  </si>
  <si>
    <t>Disclaimer:</t>
  </si>
  <si>
    <t>3. Overview of identified non-conformities</t>
  </si>
  <si>
    <t>Management System Standard</t>
  </si>
  <si>
    <t>Type of NC</t>
  </si>
  <si>
    <t>Clause No.</t>
  </si>
  <si>
    <t>Details of NC's</t>
  </si>
  <si>
    <t>3. Overview of identified obsevations</t>
  </si>
  <si>
    <t>Details of Obsevations</t>
  </si>
  <si>
    <t>4. Opportunities for Improvement (OFI)</t>
  </si>
  <si>
    <t>MS Standard</t>
  </si>
  <si>
    <t>Clause</t>
  </si>
  <si>
    <t>Opportunities for improvement</t>
  </si>
  <si>
    <t>5. Quality Clause-wise Stage-1 Audit Checklist</t>
  </si>
  <si>
    <t>Quality Clause Description</t>
  </si>
  <si>
    <t>C/NC/O/OFI</t>
  </si>
  <si>
    <t>Stage-2 Audit Evidence / Implementation Verification</t>
  </si>
  <si>
    <t>C – Conformity
NC – Non Conformity
O – Observation
OFI – Opportunity for Improvement
N/A – Not Applicable</t>
  </si>
  <si>
    <t>4.1</t>
  </si>
  <si>
    <t>C</t>
  </si>
  <si>
    <t>4.2</t>
  </si>
  <si>
    <t>4.3</t>
  </si>
  <si>
    <t>4.4</t>
  </si>
  <si>
    <t>5.1</t>
  </si>
  <si>
    <t>5.1 Leadership and commitment
5.1.1 General
5.1.2 Customer focus</t>
  </si>
  <si>
    <t>5.2</t>
  </si>
  <si>
    <t>5.2 Policy
5.2.1 Establishing the quality policy
5.2.2 Communicating the quality policy</t>
  </si>
  <si>
    <t>5.3</t>
  </si>
  <si>
    <t>5.3
Organizational roles, responsibilities and authorities</t>
  </si>
  <si>
    <t>6.1
Actions to address risks and opportunities</t>
  </si>
  <si>
    <t>6.2</t>
  </si>
  <si>
    <t>6.2
Quality objectives and planning to achieve them</t>
  </si>
  <si>
    <t>6.3</t>
  </si>
  <si>
    <t>6.3
Planning of changes</t>
  </si>
  <si>
    <t>7.1</t>
  </si>
  <si>
    <t>7.1 Resources
7.1.1 General
7.1.2 People
7.1.3 Infrastructure
7.1.4 Environment for the operation of processes
7.1.5 Monitoring and measuring resources
7.1.6 Organizational knowledge</t>
  </si>
  <si>
    <t>7.2</t>
  </si>
  <si>
    <t>7.2
Competence</t>
  </si>
  <si>
    <t>7.3</t>
  </si>
  <si>
    <t>7.3
Awareness</t>
  </si>
  <si>
    <t>7.4</t>
  </si>
  <si>
    <t>7.4
Communication</t>
  </si>
  <si>
    <t>7.5</t>
  </si>
  <si>
    <t>7.5 Documented information
7.5.1 General
7.5.2 Creating and updating
7.5.3 Control of documented information</t>
  </si>
  <si>
    <t>8.1</t>
  </si>
  <si>
    <t>8.1
Operational planning and control</t>
  </si>
  <si>
    <t>8.2</t>
  </si>
  <si>
    <t>8.2 Requirements for products and services
8.2.1 Customer communication
8.2.2 Determining the requirements for products and services
8.2.3 Review of the requirements for products and services
8.2.4 Changes to requirements for products and services</t>
  </si>
  <si>
    <t>8.3</t>
  </si>
  <si>
    <t>8.3 Design and development of products and services
8.3.1 General
8.3.2 Design and development planning
8.3.3 Design and development inputs
8.3.4 Design and development controls
8.3.5 Design and development outputs
8.3.6 Design and development changes</t>
  </si>
  <si>
    <t>8.4</t>
  </si>
  <si>
    <t>8.4 Control of externally provided processes, products and services
8.4.1 General
8.4.2 Type and extent of control
8.4.3 Information for external providers</t>
  </si>
  <si>
    <t>8.5</t>
  </si>
  <si>
    <t>8.5 Production and service provision
8.5.1 Control of production and service provision
8.5.2 Identification and traceability
8.5.3 Property belonging to customers or external providers
8.5.4 Preservation
8.5.5 Post-delivery activities
8.5.6 Control of changes</t>
  </si>
  <si>
    <t>8.6</t>
  </si>
  <si>
    <t>8.6
Release of products and services</t>
  </si>
  <si>
    <t>8.7</t>
  </si>
  <si>
    <t>8.7
Control of nonconforming outputs</t>
  </si>
  <si>
    <t>9.1</t>
  </si>
  <si>
    <t>9 Performance Evaluation
9.1 Monitoring, measurement, analysis and evaluation
9.1.1 General
9.1.2 Customer satisfaction
9.1.3 Analysis and evaluation</t>
  </si>
  <si>
    <t>9.2</t>
  </si>
  <si>
    <t>9.2 Internal audit
9.2.1 General
9.2.2 Internal audit programme</t>
  </si>
  <si>
    <t>9.3</t>
  </si>
  <si>
    <t>9.3 Management review
9.3.1 General
9.3.2 Management review inputs
9.3.3 Management review outputs</t>
  </si>
  <si>
    <t>10.1</t>
  </si>
  <si>
    <t>10.1
General</t>
  </si>
  <si>
    <t>10.2</t>
  </si>
  <si>
    <t>10.2
Nonconformity and corrective action</t>
  </si>
  <si>
    <t>10.3</t>
  </si>
  <si>
    <t>10.3
Continual improvement</t>
  </si>
  <si>
    <t>Quality Control Certification     AUD-F-15-Audit Report/ Rev.: 05</t>
  </si>
  <si>
    <t>REVIEW REPORT</t>
  </si>
  <si>
    <t>1ST SURVEILLANCE</t>
  </si>
  <si>
    <t>2ND SURVEILLANCE</t>
  </si>
  <si>
    <t>RECERTIFICATION</t>
  </si>
  <si>
    <t>SPECIAL AUDIT</t>
  </si>
  <si>
    <t>Audit Type</t>
  </si>
  <si>
    <t>Review Details</t>
  </si>
  <si>
    <t xml:space="preserve">Remarks </t>
  </si>
  <si>
    <t>Initial Audit</t>
  </si>
  <si>
    <t xml:space="preserve">Application Review &amp; Stage 1 Audit </t>
  </si>
  <si>
    <t>Is Correct calculation of Man-day(s) as per application filled?</t>
  </si>
  <si>
    <t>As per MD-05 Calculation of Man-day is done</t>
  </si>
  <si>
    <t>Does Agreement Sign by the client?</t>
  </si>
  <si>
    <t>What is the name of Auditor(s) approved for Stage 1 Audit?</t>
  </si>
  <si>
    <t>Is Declaration (AD-F-03) signed by the auditor(s)?</t>
  </si>
  <si>
    <t>Stage 1 Declaration is evident</t>
  </si>
  <si>
    <t>Stage 1 Was Audit Plan &amp; Schedule informed to the client prior 7 days to audit?</t>
  </si>
  <si>
    <t>Stage 1 What was the Audit date?</t>
  </si>
  <si>
    <t xml:space="preserve">Does Scope finalize as per client products / Service? </t>
  </si>
  <si>
    <t>Yes, Scope is finalized by the auditor on client site</t>
  </si>
  <si>
    <t>What is the difference found between the given details (filled application) and stage 1 report?</t>
  </si>
  <si>
    <t>Total No. of observation found.</t>
  </si>
  <si>
    <t>Total No. of Minor NC found.</t>
  </si>
  <si>
    <t>NO</t>
  </si>
  <si>
    <t>Total No. of Major NC found.</t>
  </si>
  <si>
    <t>What is Lead Auditor recommendation for client organization?
 Renewal / Suspend / Withdrawal / Reduce/Extend Scope</t>
  </si>
  <si>
    <t xml:space="preserve">Certificate Issue after completion of non-Conformities within the defined time. </t>
  </si>
  <si>
    <t xml:space="preserve">I,  </t>
  </si>
  <si>
    <t>verified and found that Audit report is:</t>
  </si>
  <si>
    <r>
      <rPr>
        <b/>
        <u/>
        <sz val="11"/>
        <color theme="1"/>
        <rFont val="Calibri"/>
        <charset val="134"/>
        <scheme val="minor"/>
      </rPr>
      <t>appropriate</t>
    </r>
    <r>
      <rPr>
        <sz val="11"/>
        <color rgb="FF000000"/>
        <rFont val="Calibri"/>
        <charset val="134"/>
        <scheme val="minor"/>
      </rPr>
      <t xml:space="preserve"> and the </t>
    </r>
    <r>
      <rPr>
        <b/>
        <u/>
        <sz val="11"/>
        <color rgb="FF000000"/>
        <rFont val="Calibri"/>
        <charset val="134"/>
        <scheme val="minor"/>
      </rPr>
      <t>sufficient</t>
    </r>
    <r>
      <rPr>
        <sz val="11"/>
        <color rgb="FF000000"/>
        <rFont val="Calibri"/>
        <charset val="134"/>
        <scheme val="minor"/>
      </rPr>
      <t xml:space="preserve"> Objectives Evidence is Present in the Audit Report. So, this is Recommended that Issuance of Certification will be granted.
</t>
    </r>
    <r>
      <rPr>
        <b/>
        <u/>
        <sz val="11"/>
        <color rgb="FF000000"/>
        <rFont val="Calibri"/>
        <charset val="134"/>
        <scheme val="minor"/>
      </rPr>
      <t xml:space="preserve">Final Decision: </t>
    </r>
    <r>
      <rPr>
        <sz val="11"/>
        <color rgb="FF000000"/>
        <rFont val="Calibri"/>
        <charset val="134"/>
        <scheme val="minor"/>
      </rPr>
      <t xml:space="preserve">
   Certificate issue 
   Maintenance / Surveillance Audit Successful
   Renewal
</t>
    </r>
    <r>
      <rPr>
        <b/>
        <u/>
        <sz val="11"/>
        <rFont val="Calibri"/>
        <charset val="134"/>
        <scheme val="minor"/>
      </rPr>
      <t>required supplement</t>
    </r>
    <r>
      <rPr>
        <sz val="11"/>
        <rFont val="Calibri"/>
        <charset val="134"/>
        <scheme val="minor"/>
      </rPr>
      <t xml:space="preserve"> and the</t>
    </r>
    <r>
      <rPr>
        <b/>
        <u/>
        <sz val="11"/>
        <rFont val="Calibri"/>
        <charset val="134"/>
        <scheme val="minor"/>
      </rPr>
      <t xml:space="preserve"> insufficient</t>
    </r>
    <r>
      <rPr>
        <sz val="11"/>
        <rFont val="Calibri"/>
        <charset val="134"/>
        <scheme val="minor"/>
      </rPr>
      <t xml:space="preserve"> Objectives Evidences was Present into the Audit Report. So, this is Recommended that sufficient Objectives Evidences required.</t>
    </r>
    <r>
      <rPr>
        <sz val="11"/>
        <color rgb="FF000000"/>
        <rFont val="Calibri"/>
        <charset val="134"/>
        <scheme val="minor"/>
      </rPr>
      <t xml:space="preserve">
Required Supplement Objective Evidences mentioned below:  </t>
    </r>
  </si>
  <si>
    <t>REVIEW DATE</t>
  </si>
  <si>
    <t>Quality Control Certification AUD-F-22-Review Report / Rev.: 00</t>
  </si>
  <si>
    <t>Audit Plan (Stage-2)</t>
  </si>
  <si>
    <t>1.10</t>
  </si>
  <si>
    <t>1.12</t>
  </si>
  <si>
    <r>
      <rPr>
        <b/>
        <sz val="11"/>
        <color rgb="FF000000"/>
        <rFont val="Calibri"/>
        <charset val="134"/>
        <scheme val="minor"/>
      </rPr>
      <t xml:space="preserve">Note: </t>
    </r>
    <r>
      <rPr>
        <sz val="11"/>
        <color rgb="FF000000"/>
        <rFont val="Calibri"/>
        <charset val="134"/>
        <scheme val="minor"/>
      </rPr>
      <t xml:space="preserve">
1. In case, if you have any objection regarding this plan, must inform us with 48 hr. otherwise this plan considered as accepted.
2. negative results of stage 1 may lead to postponement of cancelation of Stage 2 Audit.
Attachment  
□ Audit / visiting schedule</t>
    </r>
  </si>
  <si>
    <r>
      <rPr>
        <b/>
        <sz val="11"/>
        <color rgb="FF000000"/>
        <rFont val="Calibri"/>
        <charset val="134"/>
        <scheme val="minor"/>
      </rPr>
      <t>Lead Auditor / Team Leader</t>
    </r>
    <r>
      <rPr>
        <sz val="11"/>
        <color rgb="FF000000"/>
        <rFont val="Calibri"/>
        <charset val="134"/>
        <scheme val="minor"/>
      </rPr>
      <t xml:space="preserve">
Responsibility
1. To supervise and Lead audit team. 
2. To conduct opening &amp; closing meeting.
3. Ensure that audit report is submitted on time.
4. Resolve / communicate issues related to audit process or matters identified during the audit.
5. Guide the audit team during the audit.
6. Audit planning to be sent to clients on time.</t>
    </r>
  </si>
  <si>
    <r>
      <rPr>
        <b/>
        <sz val="11"/>
        <color rgb="FF000000"/>
        <rFont val="Calibri"/>
        <charset val="134"/>
        <scheme val="minor"/>
      </rPr>
      <t xml:space="preserve">Auditor: </t>
    </r>
    <r>
      <rPr>
        <sz val="11"/>
        <color rgb="FF000000"/>
        <rFont val="Calibri"/>
        <charset val="134"/>
        <scheme val="minor"/>
      </rPr>
      <t xml:space="preserve">
Responsibility
1. Carrying out audits under the guidance of team leader 
2. Preparation and submission of audit reports on time to Lead auditor.
3. Ensuring the code of conduct of QCC
4. Submit report to Team Leader on time and ensure smooth functioning of audit process.</t>
    </r>
  </si>
  <si>
    <r>
      <rPr>
        <b/>
        <sz val="11"/>
        <color rgb="FF000000"/>
        <rFont val="Calibri"/>
        <charset val="134"/>
        <scheme val="minor"/>
      </rPr>
      <t xml:space="preserve">Technical Experts: </t>
    </r>
    <r>
      <rPr>
        <sz val="11"/>
        <color rgb="FF000000"/>
        <rFont val="Calibri"/>
        <charset val="134"/>
        <scheme val="minor"/>
      </rPr>
      <t xml:space="preserve">
Responsibility
1. Assisting Team Leaders and auditors during the audit as per the audit plan
2. Guide on the technical issues that concerns / affects the assessment of quality of management system of client.
3. Follow the rules and regulations of audit of QCC
4. Advise to audit team on the matters / issues identified during the audit (preparations, Planning or audit)</t>
    </r>
  </si>
  <si>
    <t>Quality Control Certification    AUD-F-11-Audit Plan / Rev.: 02</t>
  </si>
  <si>
    <t>Audit Schedule (Stage-2)</t>
  </si>
  <si>
    <t>Quality Control Certification   AUD-F-12-Audit Schedule / Rev.: 01</t>
  </si>
  <si>
    <t>Attendance List from Opening and Closing Meeting (Stage-2)</t>
  </si>
  <si>
    <t>Audit Date (Stage-2)</t>
  </si>
  <si>
    <t xml:space="preserve">Opening Meeting (Y/N)
</t>
  </si>
  <si>
    <t xml:space="preserve">Closing Meeting (Y/N)
</t>
  </si>
  <si>
    <t>Audit Report</t>
  </si>
  <si>
    <t>If Other, Specify: NA</t>
  </si>
  <si>
    <t>Mode of Audit</t>
  </si>
  <si>
    <t>1.9</t>
  </si>
  <si>
    <t>Competency Standard(s)</t>
  </si>
  <si>
    <t>Stage-2 MD</t>
  </si>
  <si>
    <t>Any deviation from the audit plan and their reasons</t>
  </si>
  <si>
    <t>Any significant issues impacting on the audit programme</t>
  </si>
  <si>
    <t>Significant changes, if any, that affect the management system of the client since last audit</t>
  </si>
  <si>
    <t>DISCLAIMER:</t>
  </si>
  <si>
    <t>For Surveillance / Recertification / Special Audit, verify the following</t>
  </si>
  <si>
    <t>• Closure of Previous NC &amp; its effectiveness</t>
  </si>
  <si>
    <t>• Compliance of use of QCC logo/marks &amp; Applicable AB logo / marks, if applicable</t>
  </si>
  <si>
    <t>• Any changes with respect to management system</t>
  </si>
  <si>
    <t>• Any Complaints / interested party feedback</t>
  </si>
  <si>
    <t>• Any Change in Scope</t>
  </si>
  <si>
    <t>• Any additional Information</t>
  </si>
  <si>
    <t>Non-Conformities Raised</t>
  </si>
  <si>
    <t>RECOMMENDATION (Yes/No)</t>
  </si>
  <si>
    <t>Recommended for Certification</t>
  </si>
  <si>
    <t>Recommended with Minor NC</t>
  </si>
  <si>
    <t>Not recommended due to Major NC</t>
  </si>
  <si>
    <t>Evidence of major nonconformities exists. Organization is not recommended for certification at this time. Follow-up assessment shall be scheduled for on-site verification and closure within 60 days.</t>
  </si>
  <si>
    <t>Not Recommended / Suspension / Withdrawal / Surveillance / Re-Certification</t>
  </si>
  <si>
    <t>Organization is recommended for Suspension / Withdrawal / Surveillance / Re-Certification action as applicable. A Stage 2 audit will be required if organization wants to maintain certification status for concerned standard.</t>
  </si>
  <si>
    <t>Proposed Audit Date for Surveillance / Re-certification Audit</t>
  </si>
  <si>
    <t>After 11 months of Stage 2 audit / previous surveillance audit, as applicable</t>
  </si>
  <si>
    <t>Total NC (Nos.)</t>
  </si>
  <si>
    <t>4. Opportunities for improvement (OFI)</t>
  </si>
  <si>
    <t>Relevant Clause No.</t>
  </si>
  <si>
    <t>Results of the evaluation of management system documents and their implementation</t>
  </si>
  <si>
    <t>I carried out this audit as above and submit this report to QCC report reviewer. I hereby submit the audit report of the organization and my recommendation for:</t>
  </si>
  <si>
    <t>Certificate Issue</t>
  </si>
  <si>
    <t>Reduce / Extend scope of standard certificate to the above-mentioned organization.</t>
  </si>
  <si>
    <t>Quality Control Certification     AUD-F-15-Audit Report/ Rev.: 02</t>
  </si>
  <si>
    <t>Request for Corrective Action</t>
  </si>
  <si>
    <t>NCR No.</t>
  </si>
  <si>
    <t>Clause Ref.</t>
  </si>
  <si>
    <t>Minor/
Major</t>
  </si>
  <si>
    <t>NCR Detail</t>
  </si>
  <si>
    <t>Writing Date</t>
  </si>
  <si>
    <t>Process/ Dept.</t>
  </si>
  <si>
    <t xml:space="preserve">Accepted By 
(Person Name):
</t>
  </si>
  <si>
    <t xml:space="preserve">Lead Auditor Name </t>
  </si>
  <si>
    <t>※ Corrective action: 
Minor NCR - Please take action including reason analysis and prevention within 1 month.
Major NCR - Please take action to conduct confirmation audit between 1 - 3 months.
Exception: In case re-certification audit, please take action to complete before expiry date 
of certificate.
Note: Use another separate / same sheet if necessary</t>
  </si>
  <si>
    <t>Quality Control Certification  AUD-F-16-Request for Corrective Action / Rev.: 01</t>
  </si>
  <si>
    <t>Corrective Action Report</t>
  </si>
  <si>
    <t>Dept.</t>
  </si>
  <si>
    <t>Details of NC</t>
  </si>
  <si>
    <t xml:space="preserve">Result of corrective action </t>
  </si>
  <si>
    <t>Root Cause</t>
  </si>
  <si>
    <t xml:space="preserve">Correction </t>
  </si>
  <si>
    <t>Corrective Action</t>
  </si>
  <si>
    <t xml:space="preserve">Completion Date of Corrective 
Action: 
</t>
  </si>
  <si>
    <t>For Auditor(s) / QCC use only</t>
  </si>
  <si>
    <t>Evaluation Result of Corrective Action</t>
  </si>
  <si>
    <t>ALL RISK HAS BEEN DEFINED AND CLEARED.</t>
  </si>
  <si>
    <t xml:space="preserve">Accepted By:                                                                                      </t>
  </si>
  <si>
    <t>Position:</t>
  </si>
  <si>
    <t>QCC use only:
Corrective Action Follow Up: Result of Confirmation / Evaluation     Satisfied     Unsatisfied
If Unsatisfied, write the reason:</t>
  </si>
  <si>
    <t>Confirmation Officer:</t>
  </si>
  <si>
    <t>Quality Control Certification       AUD-F-17-Corrective Action Report / Rev.: 01</t>
  </si>
  <si>
    <t>Select Standard for Certificate Generation</t>
  </si>
  <si>
    <r>
      <rPr>
        <b/>
        <sz val="11"/>
        <color rgb="FF000000"/>
        <rFont val="Calibri"/>
        <charset val="134"/>
        <scheme val="minor"/>
      </rPr>
      <t>QCC</t>
    </r>
    <r>
      <rPr>
        <sz val="11"/>
        <color rgb="FF000000"/>
        <rFont val="Calibri"/>
        <charset val="134"/>
        <scheme val="minor"/>
      </rPr>
      <t xml:space="preserve"> hereby certifies that the</t>
    </r>
  </si>
  <si>
    <t>Has been successfully assessed as per the requirements of</t>
  </si>
  <si>
    <t>For the scope of</t>
  </si>
  <si>
    <t>Confirmation (On-Site Audit)</t>
  </si>
  <si>
    <t>Client Authorized Person Name</t>
  </si>
  <si>
    <t>Audit Team Leader</t>
  </si>
  <si>
    <t>* This content is use in your certificate, please write carefully and confirm.
* If you have previous certificate, please attach. (including renewal/transfer)
* If you have more than 3 multi locations and/or each location's scope is different,    
    Please use another sheet.</t>
  </si>
  <si>
    <t>CERTIFICATE ISSUE DATE</t>
  </si>
  <si>
    <t>CERTIFICATE NO.</t>
  </si>
  <si>
    <t>Quality Control Certification                       AUD-F-21-Draft for Certificate Approval / Rev.: 02</t>
  </si>
  <si>
    <t>Stage 2 Audit</t>
  </si>
  <si>
    <t>Does stage 2 auditor different from stage 1? Yes / No</t>
  </si>
  <si>
    <t>No</t>
  </si>
  <si>
    <t>If Yes: Name of approved Auditor(s) for Stage 2 Audit? 
 Auditor(s) Declaration (AD-F-03) signed by auditor(s)?</t>
  </si>
  <si>
    <t>Stage 2 Was Audit Plan &amp; Schedule informed to the client prior 7 days to audit?</t>
  </si>
  <si>
    <t>Stage 2 What was the audit date?</t>
  </si>
  <si>
    <t xml:space="preserve">Total number of observations found. </t>
  </si>
  <si>
    <t>Total number of Minor NC found.</t>
  </si>
  <si>
    <t>Total number of Major NC found</t>
  </si>
  <si>
    <t>What is the recommendation of Lead Auditor for the client organization?
Certificate issue / Maintenance / Renewal / Suspend / Withdrawal / Reduce/Extend Scope</t>
  </si>
  <si>
    <t xml:space="preserve">Multi-site certification </t>
  </si>
  <si>
    <t>Does Client have multi-site location?
Is calculation of man-days appropriate as per given multi-site location?</t>
  </si>
  <si>
    <t>NA</t>
  </si>
  <si>
    <t>Is calculation of sample site appropriate as per given multi-site location?</t>
  </si>
  <si>
    <t xml:space="preserve">Does any changes with respect to process/manpower/activities or defined scope of organization in multi-site location? </t>
  </si>
  <si>
    <t>1st Surveillance Audit</t>
  </si>
  <si>
    <t>If NCR was raised about selected site as sample, did you confirm that equivalent corrective action was also taken in other sites?</t>
  </si>
  <si>
    <t>2nd Surveillance Audit</t>
  </si>
  <si>
    <t>Special Audit</t>
  </si>
  <si>
    <t xml:space="preserve">Is any change at client site/address, scope or key management person? </t>
  </si>
  <si>
    <t>What is Name of Auditor(s) approved for Audit?</t>
  </si>
  <si>
    <t>Is Auditor(s) Declaration (AD-F-03) signed by auditor(s)?</t>
  </si>
  <si>
    <t xml:space="preserve">Was surveillance/renewal audit conducted periodically? If not, following action such as delay document/suspension/cancellation was conducted? </t>
  </si>
  <si>
    <t>Surveillance Audit Plan &amp; Schedule was informed to client prior 7 days to audit?</t>
  </si>
  <si>
    <t>Is surveillance audit plan prepared as per AUD-F-03A-Audit Planning for 3 years?</t>
  </si>
  <si>
    <t>Date of audit conducted</t>
  </si>
  <si>
    <t>All the core processes were covered during the surveillance audit. (in case any support processes were not covered, the reason for the same is submitted in written)</t>
  </si>
  <si>
    <t>Use of logo was verified and found in line with guidance</t>
  </si>
  <si>
    <t>Total number of observations.</t>
  </si>
  <si>
    <t>Total number of Minor NC.</t>
  </si>
  <si>
    <t>Total number of Major NC.</t>
  </si>
  <si>
    <t>What is Lead Auditor’s recommendation for client organization?
 Maintenance / Renewal / Suspend / Withdrawal / Reduce/Extend Scope</t>
  </si>
  <si>
    <t>Recertification Audit</t>
  </si>
  <si>
    <t>Is Recertification audit planned and conducted within the timeline or prior to the expiry of certification?</t>
  </si>
  <si>
    <t xml:space="preserve">What is Name of approved Auditor(s) for Stage 2 Audit? </t>
  </si>
  <si>
    <t>Is Recertification audit plan prepared as per AUD-F-03A-Audit Planning for 3 years?</t>
  </si>
  <si>
    <t>Was Recertification Audit Plan &amp; Schedule informed to client prior 7 days to audit?</t>
  </si>
  <si>
    <t>Were All the core processes covered during the surveillance audit? (in case any support processes were not covered, the reason for the same is submitted in written)</t>
  </si>
  <si>
    <t>Was Use of logo verified and found in line with guidance</t>
  </si>
  <si>
    <t>Recertification Audit date.</t>
  </si>
  <si>
    <t>Total number of observations found.</t>
  </si>
  <si>
    <t>Total number of Minor NC found</t>
  </si>
  <si>
    <r>
      <rPr>
        <b/>
        <u/>
        <sz val="11"/>
        <color rgb="FF000000"/>
        <rFont val="Calibri"/>
        <charset val="134"/>
        <scheme val="minor"/>
      </rPr>
      <t>appropriate</t>
    </r>
    <r>
      <rPr>
        <sz val="11"/>
        <color rgb="FF000000"/>
        <rFont val="Calibri"/>
        <charset val="134"/>
        <scheme val="minor"/>
      </rPr>
      <t xml:space="preserve"> and the </t>
    </r>
    <r>
      <rPr>
        <b/>
        <u/>
        <sz val="11"/>
        <color rgb="FF000000"/>
        <rFont val="Calibri"/>
        <charset val="134"/>
        <scheme val="minor"/>
      </rPr>
      <t>sufficient</t>
    </r>
    <r>
      <rPr>
        <sz val="11"/>
        <color rgb="FF000000"/>
        <rFont val="Calibri"/>
        <charset val="134"/>
        <scheme val="minor"/>
      </rPr>
      <t xml:space="preserve"> Objectives Evidence is Present in the Audit Report. So, this is Recommended that Issuance of Certification will be granted.
</t>
    </r>
    <r>
      <rPr>
        <b/>
        <u/>
        <sz val="11"/>
        <color rgb="FF000000"/>
        <rFont val="Calibri"/>
        <charset val="134"/>
        <scheme val="minor"/>
      </rPr>
      <t xml:space="preserve">Final Decision: </t>
    </r>
    <r>
      <rPr>
        <sz val="11"/>
        <color rgb="FF000000"/>
        <rFont val="Calibri"/>
        <charset val="134"/>
        <scheme val="minor"/>
      </rPr>
      <t xml:space="preserve">
√ Certificate issue 
   Maintenance / Surveillance Audit Successful
   Renewal
</t>
    </r>
    <r>
      <rPr>
        <b/>
        <u/>
        <sz val="11"/>
        <color rgb="FF000000"/>
        <rFont val="Calibri"/>
        <charset val="134"/>
        <scheme val="minor"/>
      </rPr>
      <t>required supplement</t>
    </r>
    <r>
      <rPr>
        <sz val="11"/>
        <color rgb="FF000000"/>
        <rFont val="Calibri"/>
        <charset val="134"/>
        <scheme val="minor"/>
      </rPr>
      <t xml:space="preserve"> and the</t>
    </r>
    <r>
      <rPr>
        <b/>
        <u/>
        <sz val="11"/>
        <color rgb="FF000000"/>
        <rFont val="Calibri"/>
        <charset val="134"/>
        <scheme val="minor"/>
      </rPr>
      <t xml:space="preserve"> insufficient</t>
    </r>
    <r>
      <rPr>
        <sz val="11"/>
        <color rgb="FF000000"/>
        <rFont val="Calibri"/>
        <charset val="134"/>
        <scheme val="minor"/>
      </rPr>
      <t xml:space="preserve"> Objectives Evidences was Present into the Audit Report. So, this is Recommended that sufficient Objectives Evidences required.
Required Supplement Objective Evidences mentioned below:  </t>
    </r>
  </si>
  <si>
    <r>
      <rPr>
        <sz val="11"/>
        <color rgb="FF000000"/>
        <rFont val="Calibri"/>
        <charset val="134"/>
        <scheme val="minor"/>
      </rPr>
      <t xml:space="preserve">I, </t>
    </r>
    <r>
      <rPr>
        <b/>
        <sz val="11"/>
        <color rgb="FF000000"/>
        <rFont val="Calibri"/>
        <charset val="134"/>
        <scheme val="minor"/>
      </rPr>
      <t>Brijesh Kumar (HOD)</t>
    </r>
    <r>
      <rPr>
        <sz val="11"/>
        <color rgb="FF000000"/>
        <rFont val="Calibri"/>
        <charset val="134"/>
        <scheme val="minor"/>
      </rPr>
      <t xml:space="preserve"> review the above report and Other relevant docs, following my Decision:
</t>
    </r>
    <r>
      <rPr>
        <b/>
        <u/>
        <sz val="11"/>
        <color rgb="FF000000"/>
        <rFont val="Calibri"/>
        <charset val="134"/>
        <scheme val="minor"/>
      </rPr>
      <t xml:space="preserve"> Final Decision: </t>
    </r>
    <r>
      <rPr>
        <sz val="11"/>
        <color rgb="FF000000"/>
        <rFont val="Calibri"/>
        <charset val="134"/>
        <scheme val="minor"/>
      </rPr>
      <t xml:space="preserve">
√ Certificate issue 
0 Maintenance / Surveillance Audit Successful
0 Renewal
0 Reduce 
0 Extend Scope</t>
    </r>
  </si>
  <si>
    <t>ID NUMBER</t>
  </si>
  <si>
    <t>ONLINE/VIRTUAL AUDIT</t>
  </si>
  <si>
    <t>GOOGLE MEET</t>
  </si>
  <si>
    <t>ORGANIZATION NAME</t>
  </si>
  <si>
    <t>ONSITE AUDIT</t>
  </si>
  <si>
    <t>ZOOM GOOGLE MEET</t>
  </si>
  <si>
    <t>STANDARD NAME</t>
  </si>
  <si>
    <t>COMBINE AUDIT (ONSITE &amp; ONLINE AUDIT)</t>
  </si>
  <si>
    <t>AUDIT TYPE</t>
  </si>
  <si>
    <t>ADDRESS</t>
  </si>
  <si>
    <t>SCOPE</t>
  </si>
  <si>
    <t>CONTACT PERSON NAME</t>
  </si>
  <si>
    <t>CONTACT NO.</t>
  </si>
  <si>
    <t>DESIGNATION</t>
  </si>
  <si>
    <t>EMAIL ID</t>
  </si>
  <si>
    <t>MODE OF AUDIT</t>
  </si>
  <si>
    <t>TOTAL NO. OF EMPLOYEE</t>
  </si>
  <si>
    <t>LEGAL INFORMATION</t>
  </si>
  <si>
    <t>ANY OUTSOURCING PROCESS</t>
  </si>
  <si>
    <t>MANAGEMENT ESTABLISHMENT DATE</t>
  </si>
  <si>
    <t>Manual Date</t>
  </si>
  <si>
    <t>INTERNAL AUDIT DATE</t>
  </si>
  <si>
    <t>MRM DATE</t>
  </si>
  <si>
    <t>APPLICATION DATE</t>
  </si>
  <si>
    <t>APPLICATION REVIEW DATE</t>
  </si>
  <si>
    <t>Technical Expert</t>
  </si>
  <si>
    <t>Observer</t>
  </si>
  <si>
    <t>RISK</t>
  </si>
  <si>
    <t>Auditor In Training</t>
  </si>
  <si>
    <t>AUDITOR DETAILS</t>
  </si>
  <si>
    <t>ROLE</t>
  </si>
  <si>
    <t>AUDITOR DECLARATION DATE</t>
  </si>
  <si>
    <t>Reviewer Name</t>
  </si>
  <si>
    <t>STAGE-1 MAN DAYS</t>
  </si>
  <si>
    <t>STAGE-2 MAN DAYS</t>
  </si>
  <si>
    <t>STAGE 1 AUDIT PLAN</t>
  </si>
  <si>
    <t>STAGE 1 AUDIT DATE</t>
  </si>
  <si>
    <t>STAGE 2 AUDIT PLAN</t>
  </si>
  <si>
    <t>STAGE 2 AUDIT DATE</t>
  </si>
  <si>
    <t>AFTER 11 MONTH</t>
  </si>
  <si>
    <t xml:space="preserve">Brief about the organization </t>
  </si>
  <si>
    <t>STAGE-1 OBSERVATION (QTY)</t>
  </si>
  <si>
    <t>STAGE-1 OBSERVATION</t>
  </si>
  <si>
    <t>STANDARD NAME (OBSERVATION)</t>
  </si>
  <si>
    <t>CLAUSE</t>
  </si>
  <si>
    <t>STAGE-2 OBSERVATION (QTY)</t>
  </si>
  <si>
    <t>STAGE-2 OBSERVATION</t>
  </si>
  <si>
    <t>STAGE-2 MINOR NC (QTY)</t>
  </si>
  <si>
    <t>STAGE-2 MINOR NC</t>
  </si>
  <si>
    <t>CLAUSE MINOR NC 1</t>
  </si>
  <si>
    <t>CLAUSE MINOR NC 2</t>
  </si>
  <si>
    <t>PROCESS/DEPT.</t>
  </si>
  <si>
    <t>TYPE OF NC</t>
  </si>
  <si>
    <t>ROOT CAUSE</t>
  </si>
  <si>
    <t>CORRECTION</t>
  </si>
  <si>
    <t>CORRECTIVE ACTION</t>
  </si>
  <si>
    <t>COMPLETION DATE OF CORRECTIVE ACTION</t>
  </si>
  <si>
    <t>REVIEW REPORT DATE BY REVIEWER</t>
  </si>
  <si>
    <t>REVIEW REPORT DATE BY HOD</t>
  </si>
  <si>
    <t>GST</t>
  </si>
  <si>
    <t>MSME</t>
  </si>
  <si>
    <t>INCORPORATION OF CERTIFICATE COPY</t>
  </si>
  <si>
    <t>TAX INVOICE</t>
  </si>
  <si>
    <t>ANY LICENSE COPY</t>
  </si>
  <si>
    <t>OTHER DOCUMENT</t>
  </si>
  <si>
    <t>YES</t>
  </si>
  <si>
    <t>HIGH</t>
  </si>
  <si>
    <t>MEDIUM</t>
  </si>
  <si>
    <t>LOW</t>
  </si>
  <si>
    <t>3 YEAR QMS SURVEILLANCE &amp; RECERTIFICATION AUDIT PROGRAMME</t>
  </si>
  <si>
    <t>4.1 Understanding the Organization and its Context
The organization shall determine whether climate change is a relevant issue</t>
  </si>
  <si>
    <t>4.2 Needs and Expectations of Interested Parties
NOTE 
Relevant interested parties can have requirements related to climate change</t>
  </si>
  <si>
    <t>☑ Done
☐ Not Done
N/A Not Applicable</t>
  </si>
  <si>
    <t xml:space="preserve">Applicable Standards: ISO 9001:2015 </t>
  </si>
  <si>
    <t>In case of joint, combined, integrated audit.:-                 YES                             NO</t>
  </si>
  <si>
    <t xml:space="preserve">Combined Audit Do you want the audits for several certification programmes/standards to be conducted as a Combined Audit?             YES                  NO
</t>
  </si>
  <si>
    <t>Joint Audit Do you want the audits to be conducted as a Joint Audit with another certification body / audit team?                                        YES                 NO</t>
  </si>
  <si>
    <t>Integrated Audit Do you want the audits for multiple management system standards to be conducted  as an Integrated Audit under one integrated management system?                                                                                                                            YES                             NO</t>
  </si>
  <si>
    <t>Separate Audit Do you want each certification programme/standard to be audited separately?                                                                         YES                     NO</t>
  </si>
  <si>
    <t xml:space="preserve">Is MRM is Combined including buisness stretegy and plan:                                                                                                 Yes                        No    </t>
  </si>
  <si>
    <t xml:space="preserve">Is Manual, Procedures are Combined:                                                                                                                                       Yes                         No    </t>
  </si>
  <si>
    <t xml:space="preserve">Is Implemented System is Integrated:                                                                                                                                         Yes                         No    </t>
  </si>
  <si>
    <t xml:space="preserve">Is there integrated approach for correction, corrective action and continual improvement?                                       Yes                         No    </t>
  </si>
  <si>
    <t xml:space="preserve">Is there any integreted management support and responsiblities?                                                                                     Yes                         No    </t>
  </si>
  <si>
    <t>Percentage level of integration (decided by QCC):                                                                                                                   Yes                          No</t>
  </si>
  <si>
    <r>
      <rPr>
        <b/>
        <sz val="10"/>
        <color rgb="FF000000"/>
        <rFont val="Calibri"/>
        <family val="2"/>
      </rPr>
      <t xml:space="preserve">Additional Information’s of specific management </t>
    </r>
    <r>
      <rPr>
        <b/>
        <sz val="10"/>
        <rFont val="Calibri"/>
        <family val="2"/>
      </rPr>
      <t>systems (complete the section, If applicable)</t>
    </r>
  </si>
  <si>
    <t>This Section for ISO 50001:2018  – Energy Management System – Additional Details</t>
  </si>
  <si>
    <r>
      <rPr>
        <b/>
        <sz val="16"/>
        <color rgb="FF00B050"/>
        <rFont val="Calibri"/>
        <family val="2"/>
      </rPr>
      <t xml:space="preserve">This Section for ISO 14001:2015  </t>
    </r>
    <r>
      <rPr>
        <b/>
        <sz val="16"/>
        <color rgb="FFFF0000"/>
        <rFont val="Calibri"/>
        <family val="2"/>
      </rPr>
      <t xml:space="preserve">/ ISO 45001:2018 </t>
    </r>
    <r>
      <rPr>
        <b/>
        <sz val="16"/>
        <color rgb="FF000000"/>
        <rFont val="Calibri"/>
        <family val="2"/>
      </rPr>
      <t>– Additional Details (Fill out applicable details)</t>
    </r>
  </si>
  <si>
    <r>
      <rPr>
        <sz val="10"/>
        <color rgb="FF000000"/>
        <rFont val="Calibri"/>
        <family val="2"/>
      </rPr>
      <t xml:space="preserve">Please write </t>
    </r>
    <r>
      <rPr>
        <b/>
        <u/>
        <sz val="10"/>
        <color rgb="FF000000"/>
        <rFont val="Calibri"/>
        <family val="2"/>
      </rPr>
      <t xml:space="preserve">relevant laws </t>
    </r>
    <r>
      <rPr>
        <sz val="10"/>
        <color rgb="FF000000"/>
        <rFont val="Calibri"/>
        <family val="2"/>
      </rPr>
      <t>aplicable to your organization (Ex. air, water, waste, noise, chemical, mining, labour etc. laws), process related and product related legal requirement. (Mention the applicable requirements or provide the requirement of the documents)</t>
    </r>
  </si>
  <si>
    <t>This Section for ISO 22000:2018 – Food Safety Management System – Additional Details</t>
  </si>
  <si>
    <t>If yes, provide details separately:
A. Product(s):
B. Season/Months of operation:
C. Peak production period:
D. Impact on operations (volume/process variation):</t>
  </si>
  <si>
    <t>Product Types:</t>
  </si>
  <si>
    <t>Product Lines:</t>
  </si>
  <si>
    <t>Product Development (Yes/No):</t>
  </si>
  <si>
    <t>CCPs (Critical Control Points):</t>
  </si>
  <si>
    <t>PRPs (Prerequisite Programs):</t>
  </si>
  <si>
    <t>OPRPs (Operational PRPs):</t>
  </si>
  <si>
    <t>Building Area (in sq. ft./m²):</t>
  </si>
  <si>
    <t>Infrastructure Details:</t>
  </si>
  <si>
    <t>In-house Lab Testing Available? (Yes/No)</t>
  </si>
  <si>
    <t>Any prior audits conducted? (Yes/No)</t>
  </si>
  <si>
    <t>If yes, attach audit findings/report</t>
  </si>
  <si>
    <t>Translator Required? (Yes/No)</t>
  </si>
  <si>
    <t>Other Factors (specify):</t>
  </si>
  <si>
    <t>This Section for ISO 27001:2022 – Information Security Management System – Additional Details</t>
  </si>
  <si>
    <t>Business complexity [Please select type of complexity in your org. as per A,B,C, selected as per applicable from 1or2or3]</t>
  </si>
  <si>
    <t>IT complexity [Please select type of complexity in your org. as per A, B, C, selected as per applicable from 1 or 2 or 3]</t>
  </si>
  <si>
    <r>
      <rPr>
        <sz val="10"/>
        <color rgb="FF000000"/>
        <rFont val="Calibri"/>
        <family val="2"/>
      </rPr>
      <t xml:space="preserve">         01. Agreed to share all the ISMS records or information about design and effectiveness of controls for review by audit team.
                                     02.  Not agreed to share all the ISMS records or information about design and effectiveness of controls for review by audit team, because it contains confidential or sensitive information.
AGREED :           
NOT AGREED:
If you are “not agreed”, please mention the information which cannot be shared in during the audit: 
___________________________________________________________________________
___________________________________________________________________________</t>
    </r>
    <r>
      <rPr>
        <b/>
        <sz val="10"/>
        <color rgb="FF000000"/>
        <rFont val="Calibri"/>
        <family val="2"/>
      </rPr>
      <t xml:space="preserve">
</t>
    </r>
  </si>
  <si>
    <t xml:space="preserve">In total number of Employees working in Organization, Let us know with specific performing certain identical activities, such as : </t>
  </si>
  <si>
    <t>No. of persons with read-only access to information to perform their duties in Org.?</t>
  </si>
  <si>
    <t>No. of persons with no access to the organization’s information processing facilities in scope of the ISMS?</t>
  </si>
  <si>
    <t>No. of persons who have specific demonstrable restricted access to the company’s information processing facilities in scope of the ISMS?</t>
  </si>
  <si>
    <t>No. of persons who perform activities where strict limitations are implemented to restrict disclosure of information, e.g. measures prohibiting personal belongings and devices into the work area?</t>
  </si>
  <si>
    <t>This Section for ISO/IEC 27701:2025 Privacy Information Management System (PIMS)– Additional Details</t>
  </si>
  <si>
    <t>This Section for ISO 37001:2016 – Anti Bribery Management System – Additional Details</t>
  </si>
  <si>
    <r>
      <rPr>
        <b/>
        <sz val="10"/>
        <color rgb="FF000000"/>
        <rFont val="Calibri"/>
        <family val="2"/>
      </rPr>
      <t xml:space="preserve">NOTE : </t>
    </r>
    <r>
      <rPr>
        <sz val="10"/>
        <color rgb="FF000000"/>
        <rFont val="Calibri"/>
        <family val="2"/>
      </rPr>
      <t>Effective Number of Employees for ABMS shall include Personnels from Top Management, Governing Body, ABMS Compliance &amp; Investigation Commitee, Marketing, Purchase , Legal &amp; Compliance, Due Diligence, Internal / External Audit, Finance &amp; Accounts Departments.</t>
    </r>
  </si>
  <si>
    <t>This Section for ISO 37001:2016 – Anti Bribery Management System – Risks</t>
  </si>
  <si>
    <t>This Section is ISO 21001:2018 – Educational Organizations Management System – Effective Number of employees under EOMS</t>
  </si>
  <si>
    <t xml:space="preserve">In case of Multi-site use this Section: Annexure -01 </t>
  </si>
  <si>
    <t>Application submisstion: I declare that above information is true as per my best knowledge &amp; QCC can use for ISO Certification  purposes</t>
  </si>
  <si>
    <t>Quality Control Certification     AUD-F-02-Request for Proposal cum Application Form/ Rev.: 03</t>
  </si>
  <si>
    <t>YES                            NO</t>
  </si>
  <si>
    <t>Audit Time Determination For ISO 9001:2015</t>
  </si>
  <si>
    <t>Audit Time Determination For ISO 14001:2015</t>
  </si>
  <si>
    <r>
      <t xml:space="preserve">IAF MD 5:2023
</t>
    </r>
    <r>
      <rPr>
        <b/>
        <sz val="12"/>
        <color rgb="FF000000"/>
        <rFont val="Segoe UI"/>
        <family val="2"/>
      </rPr>
      <t>ANNEX B – ENVIRONMENTAL MANAGEMENT SYSTEMSTable EMS 1 – Relationship between Effective Number of Personnel, Complexity and Audit Time(Initial Audit only- Stage 1 + Stage 2)</t>
    </r>
  </si>
  <si>
    <t>Effective Number 
of Personnel</t>
  </si>
  <si>
    <t>High</t>
  </si>
  <si>
    <t>Med</t>
  </si>
  <si>
    <t>Low</t>
  </si>
  <si>
    <t>Lim</t>
  </si>
  <si>
    <t>Audit Time Determination For ISO 45001:2018</t>
  </si>
  <si>
    <r>
      <t xml:space="preserve">IAF MD 5:2023
</t>
    </r>
    <r>
      <rPr>
        <b/>
        <sz val="12"/>
        <color rgb="FF000000"/>
        <rFont val="Segoe UI"/>
        <family val="2"/>
      </rPr>
      <t>ANNEX C – OCCUPATIONAL HEALTH AND SAFETY MANAGEMENT SYSTEMS
Table OH&amp;SMS 1 – Occupational Health and Safety Management Systems
Relationship between Effective Number of Personnel, 
Complexity Category of OH&amp;S Risk and Audit Time 
(Initial Audit only – Stage 1 + Stage 2)</t>
    </r>
  </si>
  <si>
    <t xml:space="preserve">Audit Time Determination For ISO/IEC 27001:2022 </t>
  </si>
  <si>
    <t>MANDAY CALCULATION</t>
  </si>
  <si>
    <t>As per ISO/IEC 27006-1:2024
Factors related to IT environment</t>
  </si>
  <si>
    <t>Value</t>
  </si>
  <si>
    <t>Business Complexity ↓ / IT Complexity →</t>
  </si>
  <si>
    <t>Low IT Complexity(from 3 to 4)</t>
  </si>
  <si>
    <t>Medium IT Complexity(from 5 to 6)</t>
  </si>
  <si>
    <t>High IT Complexity(from 7 to 9)</t>
  </si>
  <si>
    <t>Number of Persons Under Organization’s Control</t>
  </si>
  <si>
    <t>___</t>
  </si>
  <si>
    <t>High Business Complexity(from 7 to 9)</t>
  </si>
  <si>
    <t>+5% to +20%</t>
  </si>
  <si>
    <t>+10% to +50%</t>
  </si>
  <si>
    <t>+20% to +100%</t>
  </si>
  <si>
    <t>Base ISMS Audit Time as per Table C.1</t>
  </si>
  <si>
    <t>___ Auditor Days</t>
  </si>
  <si>
    <t>Medium Business Complexity(from 5 to 6)</t>
  </si>
  <si>
    <t>−5% to −10%</t>
  </si>
  <si>
    <t>IT / Business Complexity Adjustment</t>
  </si>
  <si>
    <t>___ %</t>
  </si>
  <si>
    <t>Low Business Complexity(from 3 to 4)</t>
  </si>
  <si>
    <t>−10% to −30%</t>
  </si>
  <si>
    <t>Additive / Subtractive Adjustment</t>
  </si>
  <si>
    <t>Additional Audit Time, if applicable</t>
  </si>
  <si>
    <t>Total Final Audit Time</t>
  </si>
  <si>
    <t>Stage 1 Audit Time</t>
  </si>
  <si>
    <t>Stage 2 Audit Time</t>
  </si>
  <si>
    <t>ISMS Table 01: As per ISO/IEC 27006-1:2024(en)
Table C.1 — Audit time chart</t>
  </si>
  <si>
    <t>Number of Persons Doing Work Under the Organization’s Control</t>
  </si>
  <si>
    <t>QMS Audit Time for Initial Audit (Auditor Days, d)</t>
  </si>
  <si>
    <t>EMS Audit Time for Initial Audit (Auditor Days, d)</t>
  </si>
  <si>
    <t>ISMS Audit Time for Initial Audit (Auditor Days, d)</t>
  </si>
  <si>
    <t>Additive and Subtractive Factors</t>
  </si>
  <si>
    <t>1–10</t>
  </si>
  <si>
    <t>1.5–2</t>
  </si>
  <si>
    <t>2.5–3</t>
  </si>
  <si>
    <t>See C.3.5</t>
  </si>
  <si>
    <t>Table D.1 – Classification of Factors for Calculating ISMS Audit Time</t>
  </si>
  <si>
    <t>As per ISO/IEC 27006-1:2024</t>
  </si>
  <si>
    <t>Impact on effort</t>
  </si>
  <si>
    <t>Sr. No.</t>
  </si>
  <si>
    <t>Factor</t>
  </si>
  <si>
    <t>Reduced Effort</t>
  </si>
  <si>
    <t>Normal Effort</t>
  </si>
  <si>
    <t>Increased Effort</t>
  </si>
  <si>
    <t>Complexity of the ISMS, including confidentiality, integrity, availability requirements, number of critical assets, processes and services</t>
  </si>
  <si>
    <t>Low sensitivity or confidentiality of information; low availability needs; few critical assets; one key business process with limited interfaces and few business units involved</t>
  </si>
  <si>
    <t>Higher availability needs or some sensitive / confidential information; some critical assets; 2–3 simple business processes with limited interfaces</t>
  </si>
  <si>
    <t>High volume of sensitive / confidential information such as health, personal, banking or insurance data; high availability needs; many critical assets; more than two complex processes with many interfaces and business units</t>
  </si>
  <si>
    <t>Type of business performed within the ISMS scope</t>
  </si>
  <si>
    <t>Low-risk business with no or limited regulatory requirements</t>
  </si>
  <si>
    <t>Business with high regulatory requirements</t>
  </si>
  <si>
    <t>High-risk business with regulatory or security-sensitive requirements</t>
  </si>
  <si>
    <t>Previously demonstrated performance of the ISMS</t>
  </si>
  <si>
    <t>Recently certified ISMS, or fully implemented ISMS with several audit and improvement cycles, internal audits, management reviews and effective continual improvement</t>
  </si>
  <si>
    <t>Recent surveillance audit, or partially implemented ISMS with some management system tools and partially documented improvement processes</t>
  </si>
  <si>
    <t>No certification, no recent audits, new or immature ISMS, weak management system controls, ad hoc processes or immature continual improvement</t>
  </si>
  <si>
    <t>Extent and diversity of technology used in ISMS implementation</t>
  </si>
  <si>
    <t>Highly standardized IT environment with low diversity, few platforms, servers, operating systems, databases or networks</t>
  </si>
  <si>
    <t>Standardized but diverse IT platforms, servers, operating systems, databases and networks</t>
  </si>
  <si>
    <t>High IT diversity or complexity, many network segments, server types, databases or key applications</t>
  </si>
  <si>
    <t>Extent of outsourcing and third-party arrangements</t>
  </si>
  <si>
    <t>No outsourcing or low supplier dependency; outsourcing is well-defined, managed and monitored; outsourced provider has certified ISMS or independent assurance reports are available</t>
  </si>
  <si>
    <t>Several outsourcing arrangements that are partly managed</t>
  </si>
  <si>
    <t>High dependency on outsourcing or suppliers affecting important business activities; unknown outsourcing extent; several unmanaged outsourcing arrangements</t>
  </si>
  <si>
    <t>Extent of information system development</t>
  </si>
  <si>
    <t>No in-house system development; use of standard software platforms</t>
  </si>
  <si>
    <t>Standard software platforms with complex configuration or customization; some in-house or outsourced development activities</t>
  </si>
  <si>
    <t>Extensive internal software development with several ongoing projects supporting important business purposes</t>
  </si>
  <si>
    <t>Number of sites and Disaster Recovery sites</t>
  </si>
  <si>
    <t>Low availability requirements and no or one DR site</t>
  </si>
  <si>
    <t>Medium or high availability requirements and no or one DR site</t>
  </si>
  <si>
    <t>High availability requirements such as 24/7 services; several DR sites or data centres</t>
  </si>
  <si>
    <t>Number and complexity of controls</t>
  </si>
  <si>
    <t>Fewer than usual controls; some common control areas not applicable, such as no system development controls or no physical controls</t>
  </si>
  <si>
    <t>Typical number and complexity of controls</t>
  </si>
  <si>
    <t>More than usual number of detailed and complex controls, such as controls for networking protocols, cryptography or advanced technical environments</t>
  </si>
  <si>
    <t>For surveillance or recertification audit: amount and extent of ISMS change as per ISO/IEC 17021-1:2015, 8.5.3</t>
  </si>
  <si>
    <t>No changes since last recertification audit</t>
  </si>
  <si>
    <t>Minor changes in ISMS scope, Statement of Applicability, policies, documents or other related factors</t>
  </si>
  <si>
    <t>Major changes in scope, SoA, processes, business units, risk assessment methodology, policies, documentation, risk treatment or other key ISMS factors</t>
  </si>
  <si>
    <t>Audit Time Determination For ISO 22000:2018</t>
  </si>
  <si>
    <t>Table B.1 — Variables for Calculation of Minimum Audit Duration</t>
  </si>
  <si>
    <t>Category or
Subcategory</t>
  </si>
  <si>
    <t>Basic Site Audit
Duration, in Audit
Days</t>
  </si>
  <si>
    <t>Number of Audit Days for
Each Additional HACCP
Study</t>
  </si>
  <si>
    <t>Effective Number FTE</t>
  </si>
  <si>
    <t>TD</t>
  </si>
  <si>
    <t>TH</t>
  </si>
  <si>
    <t>TFTE</t>
  </si>
  <si>
    <t>AI</t>
  </si>
  <si>
    <t>1,0</t>
  </si>
  <si>
    <t>0,25</t>
  </si>
  <si>
    <t>1 to 5 = 0
6 to 49 = 0,5
50 to 99 = 1,0
100 to 199 = 1,5
200 to 499 = 2,0
500 to 999 = 2,5
&gt; 1 000 = 3</t>
  </si>
  <si>
    <t>AII</t>
  </si>
  <si>
    <t>BI</t>
  </si>
  <si>
    <t>BII</t>
  </si>
  <si>
    <t>BIII</t>
  </si>
  <si>
    <t>C0</t>
  </si>
  <si>
    <t>2,0</t>
  </si>
  <si>
    <t>0,50</t>
  </si>
  <si>
    <t>CI</t>
  </si>
  <si>
    <t>CII</t>
  </si>
  <si>
    <t>CIII</t>
  </si>
  <si>
    <t>CIV</t>
  </si>
  <si>
    <t>D</t>
  </si>
  <si>
    <t>E</t>
  </si>
  <si>
    <t>1,5</t>
  </si>
  <si>
    <t>FI</t>
  </si>
  <si>
    <t>FII</t>
  </si>
  <si>
    <t>0,5</t>
  </si>
  <si>
    <t>G</t>
  </si>
  <si>
    <t>H</t>
  </si>
  <si>
    <t>I</t>
  </si>
  <si>
    <t>J</t>
  </si>
  <si>
    <t>K</t>
  </si>
  <si>
    <t>The minimum initial certification audit duration for FSMS certification audits shall be given as Ds,</t>
  </si>
  <si>
    <t>expressed in days, which is calculated, considering Table B.1: from ISO 22003-1:2022</t>
  </si>
  <si>
    <t>where</t>
  </si>
  <si>
    <t>Ds</t>
  </si>
  <si>
    <t>is the total audit duration;</t>
  </si>
  <si>
    <t>is the basic site audit duration for (sub) category and scope of certification (includes one
HACCP study), in days;</t>
  </si>
  <si>
    <t>is the number of audit days for additional HACCP studies;
TFTE is the number of audit days per number of FTE employees.</t>
  </si>
  <si>
    <t>Ds = (TD + TH + TFTE)</t>
  </si>
  <si>
    <t>In Case of Integration:</t>
  </si>
  <si>
    <t>IMS Man-Day Calculation Table  - ANNEX - I</t>
  </si>
  <si>
    <t>Particulars</t>
  </si>
  <si>
    <t>Details / Formula</t>
  </si>
  <si>
    <t>Man-days / Result</t>
  </si>
  <si>
    <t>Shieldersoft Technologies Pvt. Ltd.</t>
  </si>
  <si>
    <t>No. of Employees</t>
  </si>
  <si>
    <t>5 Employees</t>
  </si>
  <si>
    <t>ISO 9001, ISO 14001, ISO 45001, ISO 27001</t>
  </si>
  <si>
    <t>Standard-wise Man-Day Calculation</t>
  </si>
  <si>
    <t>Basis / Risk Level</t>
  </si>
  <si>
    <t>Man-days</t>
  </si>
  <si>
    <t>Base audit duration</t>
  </si>
  <si>
    <t>ISO 14001</t>
  </si>
  <si>
    <t>Low Risk</t>
  </si>
  <si>
    <t>ISO 45001</t>
  </si>
  <si>
    <t>ISO 27001</t>
  </si>
  <si>
    <t>ISMS duration after reduction: 5 - 1.5</t>
  </si>
  <si>
    <t>Total Man-days before Integration</t>
  </si>
  <si>
    <t>1.5 + 2.5 + 2.5 + 3.5</t>
  </si>
  <si>
    <t>ISMS Reduction Calculation</t>
  </si>
  <si>
    <t>Calculation / Basis</t>
  </si>
  <si>
    <t>Result</t>
  </si>
  <si>
    <t>Business Complexity</t>
  </si>
  <si>
    <t>1 + 1 + 2</t>
  </si>
  <si>
    <t>IT Complexity</t>
  </si>
  <si>
    <t>1 + 1 + 1</t>
  </si>
  <si>
    <t>Impact Factor on Audit Time</t>
  </si>
  <si>
    <t>Reduction considered</t>
  </si>
  <si>
    <t>ISMS Reduction</t>
  </si>
  <si>
    <t>Reduction applied</t>
  </si>
  <si>
    <t>Integrated Man-Day Calculation  As per MD 11 Annex-1</t>
  </si>
  <si>
    <t>Standard-wise total</t>
  </si>
  <si>
    <t xml:space="preserve">Level of integration % </t>
  </si>
  <si>
    <t>As per application / Annex 1
The level of integration of an organization’s management system (see 
below), which should include a consideration of the auditee’s ability to respond to multi
aspect questions. An Integrated Management System results when an organization 
uses one single management system to manage multiple aspects of organizational 
performance. It is characterized by (but not limited to): 
1.  An integrated documentation set, including work instructions to a good level of development, as appropriate. 
2.  Management Reviews that consider the overall business strategy and plan. 
3.  An integrated approach to internal audits. 
4.  An integrated approach to policy and objectives. 
5.  An integrated approach to systems processes. 
6.  An integrated approach to improvement mechanisms (corrective and 
preventive action; measurement and continual improvement). 
7.  Integrated management support and responsibilities.</t>
  </si>
  <si>
    <t>Ability to perform combined audit %</t>
  </si>
  <si>
    <t>100 ((X1-1) + (X2-1) + (X3-1) + (Xn-1)) 
Z(Y-1)</t>
  </si>
  <si>
    <t>X1, 2, 3…n is the number of standards for which an auditor is qualified relevant for the scope of the integrated audit</t>
  </si>
  <si>
    <t>Y is the number of management system standards to be covered by integrated audit</t>
  </si>
  <si>
    <t>Z is the number of auditors.</t>
  </si>
  <si>
    <t>Integrated Reduction Allowed</t>
  </si>
  <si>
    <t>Based on vertical and horizontal audit percentage</t>
  </si>
  <si>
    <t>Man-day Reduction</t>
  </si>
  <si>
    <t>20% of 10 man-days</t>
  </si>
  <si>
    <t>Final Integrated Man-days</t>
  </si>
  <si>
    <t>On-site and Off-site Audit Time</t>
  </si>
  <si>
    <t>After integration reduction</t>
  </si>
  <si>
    <t>On-site Audit Time</t>
  </si>
  <si>
    <t>75% of 8 man-days</t>
  </si>
  <si>
    <t>Off-site Time</t>
  </si>
  <si>
    <t>25% for planning, reporting and closing activities</t>
  </si>
  <si>
    <t>Stage-wise Audit Time Distribution</t>
  </si>
  <si>
    <t>Audit Stage</t>
  </si>
  <si>
    <t>Stage 1 Audit</t>
  </si>
  <si>
    <t>Total On-site Audit Time</t>
  </si>
  <si>
    <t>Off-site Planning / Reporting / Closing</t>
  </si>
  <si>
    <t>Total Integrated Audit Time</t>
  </si>
  <si>
    <t>Are complex controls such as cryptography, cloud security, network security, access control, backup and monitoring reviewed for audit planning?</t>
  </si>
  <si>
    <t>Has the organization clearly defined the type of activity or process covered under the ISMS?</t>
  </si>
  <si>
    <t>Are core, support and outsourced processes within the ISMS scope identified?</t>
  </si>
  <si>
    <t>Are information security risks linked with the identified activities or processes?</t>
  </si>
  <si>
    <t>Are critical activities or processes involving confidential, sensitive or customer information identified?</t>
  </si>
  <si>
    <t>Are IT, operational, administrative and business processes relevant to the ISMS clearly described?</t>
  </si>
  <si>
    <t>Is the provided information on manpower and activity/process type sufficient for determining audit planning, scope and duration?</t>
  </si>
  <si>
    <t>Has the organization identified the complexity level of the ISMS considering criticality of information and associated risks?</t>
  </si>
  <si>
    <t>Has the organization identified critical, confidential, sensitive or customer information handled within the ISMS scope?</t>
  </si>
  <si>
    <t>Are major information security risks identified for processes, assets, systems and activities under the ISMS?</t>
  </si>
  <si>
    <t>Has the organization clearly defined the type of business activities performed within the ISMS scope?</t>
  </si>
  <si>
    <t>Are all business functions, services and processes included in the ISMS scope clearly identified?</t>
  </si>
  <si>
    <t>Has the organization provided previous ISMS performance information, where applicable?</t>
  </si>
  <si>
    <t>Are previous nonconformities, security incidents, corrective actions and improvement records reviewed?</t>
  </si>
  <si>
    <t>Has the organization identified the extent and diversity of technology used in implementing the ISMS?</t>
  </si>
  <si>
    <t>Are the number and types of IT platforms, operating systems, databases, applications and cloud platforms identified?</t>
  </si>
  <si>
    <t>Has the organization identified the number of segregated networks and network zones used within the ISMS scope?</t>
  </si>
  <si>
    <t>Has the organization identified outsourced processes and third-party arrangements used within the ISMS scope?</t>
  </si>
  <si>
    <t>Are third parties having access to information assets, systems, networks or customer data identified and controlled?</t>
  </si>
  <si>
    <t>Has the organization identified the extent of information system development activities within the ISMS scope?</t>
  </si>
  <si>
    <t>Are controls for secure design, development, testing, deployment and change management identified?</t>
  </si>
  <si>
    <t>Has the organization provided the number of sites covered under the ISMS scope?</t>
  </si>
  <si>
    <t>Has the organization identified Disaster Recovery sites included or relevant to the ISMS scope?</t>
  </si>
  <si>
    <t>Are site-wise activities, manpower, technology, processes and security controls identified for audit planning?</t>
  </si>
  <si>
    <t>After Stage 1, has the certification body considered the number and complexity of ISMS controls implemented?</t>
  </si>
  <si>
    <t>Is the information sufficient to determine audit duration, audit team competence and Stage 2 audit planning?</t>
  </si>
  <si>
    <t>This audit has been conducted on a sampling basis of the available information, documents, records, processes and activities reviewed during the audit. The audit findings are based only on the evidence verified at the time of audit and do not guarantee detection of all possible nonconformities or system weaknesses.</t>
  </si>
  <si>
    <t>Is audit team have competent (IAF code) for conduct audit?</t>
  </si>
  <si>
    <t>Is application &amp; audit reviewer has compatant (IAF code)?</t>
  </si>
  <si>
    <r>
      <t>Audit Objectives</t>
    </r>
    <r>
      <rPr>
        <sz val="11"/>
        <color rgb="FF000000"/>
        <rFont val="Calibri"/>
        <charset val="134"/>
        <scheme val="minor"/>
      </rPr>
      <t xml:space="preserve">
Judging the Management System by checking system conformity and performance status regarding objective evidence as per </t>
    </r>
    <r>
      <rPr>
        <b/>
        <sz val="11"/>
        <color rgb="FF000000"/>
        <rFont val="Calibri"/>
        <charset val="134"/>
        <scheme val="minor"/>
      </rPr>
      <t xml:space="preserve">ISO 9001 </t>
    </r>
    <r>
      <rPr>
        <sz val="11"/>
        <color rgb="FF000000"/>
        <rFont val="Calibri"/>
        <charset val="134"/>
        <scheme val="minor"/>
      </rPr>
      <t xml:space="preserve">Standard
a. To assess conformity of the Client’s Management system with the audit criteria
b. To assess capacity of the client’s criteria to meet its </t>
    </r>
    <r>
      <rPr>
        <b/>
        <sz val="11"/>
        <color rgb="FF000000"/>
        <rFont val="Calibri"/>
        <charset val="134"/>
        <scheme val="minor"/>
      </rPr>
      <t>QMS (Quality Management System)</t>
    </r>
    <r>
      <rPr>
        <sz val="11"/>
        <color rgb="FF000000"/>
        <rFont val="Calibri"/>
        <charset val="134"/>
        <scheme val="minor"/>
      </rPr>
      <t xml:space="preserve"> Objectives
c. To identify areas of improvement in the Clients premises
d. To make appropriate recommendation to the CB regarding client’s certification.</t>
    </r>
  </si>
  <si>
    <t>Quality Stage 2 / Surveillance / Recertification / Special Audit (On-site or Virtual)</t>
  </si>
  <si>
    <t>The Quality management system complies with the requirements of the reference standards; client scope is found appropriate and audit objectives are fulfilled during the audit. Lead Auditor is pleased to recommend certification.</t>
  </si>
  <si>
    <t>The Quality management system generally complies with the reference standards and scope is appropriate; certification is recommended upon off-site verification of all minor NC closures within 60 days from Stage 2 audit date.</t>
  </si>
  <si>
    <t>5. Quality Stage-2 Audit Checklist</t>
  </si>
  <si>
    <t>To verify the effective implementation, adequacy, conformity and performance of the organization’s Quality Management System during Stage–2 audit. The audit objective is to determine whether the implemented management system is capable of consistently meeting customer requirements, statutory and regulatory requirements, applicable legal obligations, and the organization’s own policies and objectives. The audit shall also evaluate process effectiveness, risk-based thinking, achievement of objectives, operational controls, monitoring and measurement results, internal audit effectiveness, management review outputs, corrective actions, continual improvement, and overall readiness for certification decision.</t>
  </si>
  <si>
    <t>Applicable requirements of ISO 9001 organization’s documented policies, manuals, procedures, SOPs, work instructions, process flow charts, risk assessments, objectives and targets; applicable statutory, regulatory, legal and contractual requirements; customer requirements; operational control requirements; monitoring and measurement records; internal audit reports; management review records; corrective action records; performance evaluation results; applicable IAF mandatory documents and accreditation requirements; and other relevant normative references applicable to the organization’s scope of certification.</t>
  </si>
  <si>
    <t>Does the 3-year audit programme have a periodic verification mechanism to ensure client-specific, certification cycle, operational and scheme requirements are addressed before approval and implementation?</t>
  </si>
  <si>
    <t>6.1.2 Environmental Aspects</t>
  </si>
  <si>
    <t>8.1 EMS Operational Control</t>
  </si>
  <si>
    <t>8.2 Emergency Preparedness and Response</t>
  </si>
  <si>
    <t>9.1.2 Evaluation of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</si>
</sst>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dd\,\ yyyy"/>
    <numFmt numFmtId="165" formatCode="d/mm/yyyy;@"/>
    <numFmt numFmtId="166" formatCode="dd/mm/yyyy;@"/>
    <numFmt numFmtId="167" formatCode="dd\.mm\.yyyy;@"/>
  </numFmts>
  <fonts count="77">
    <font>
      <sz val="12"/>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charset val="134"/>
      <scheme val="minor"/>
    </font>
    <font>
      <b/>
      <sz val="11"/>
      <color theme="1"/>
      <name val="Calibri"/>
      <charset val="134"/>
      <scheme val="minor"/>
    </font>
    <font>
      <sz val="11"/>
      <color theme="0"/>
      <name val="Calibri"/>
      <charset val="134"/>
      <scheme val="minor"/>
    </font>
    <font>
      <u/>
      <sz val="12"/>
      <color theme="10"/>
      <name val="Calibri"/>
      <charset val="134"/>
      <scheme val="minor"/>
    </font>
    <font>
      <b/>
      <sz val="11"/>
      <name val="Calibri"/>
      <charset val="134"/>
      <scheme val="minor"/>
    </font>
    <font>
      <b/>
      <sz val="11"/>
      <color rgb="FF000000"/>
      <name val="Calibri"/>
      <charset val="134"/>
      <scheme val="minor"/>
    </font>
    <font>
      <sz val="11"/>
      <color rgb="FF000000"/>
      <name val="Calibri"/>
      <charset val="134"/>
      <scheme val="minor"/>
    </font>
    <font>
      <u/>
      <sz val="11"/>
      <color theme="10"/>
      <name val="Calibri"/>
      <charset val="134"/>
      <scheme val="minor"/>
    </font>
    <font>
      <b/>
      <sz val="14"/>
      <color theme="1"/>
      <name val="Calibri"/>
      <charset val="134"/>
      <scheme val="minor"/>
    </font>
    <font>
      <b/>
      <sz val="11"/>
      <color rgb="FFFFFFFF"/>
      <name val="Calibri"/>
      <charset val="134"/>
      <scheme val="minor"/>
    </font>
    <font>
      <sz val="11"/>
      <name val="Calibri"/>
      <charset val="134"/>
      <scheme val="minor"/>
    </font>
    <font>
      <b/>
      <u/>
      <sz val="11"/>
      <color theme="1"/>
      <name val="Calibri"/>
      <charset val="134"/>
      <scheme val="minor"/>
    </font>
    <font>
      <b/>
      <sz val="10"/>
      <color theme="1"/>
      <name val="Arial"/>
      <charset val="134"/>
    </font>
    <font>
      <b/>
      <sz val="12"/>
      <color theme="1"/>
      <name val="Calibri"/>
      <charset val="134"/>
      <scheme val="minor"/>
    </font>
    <font>
      <b/>
      <sz val="12"/>
      <color rgb="FF000000"/>
      <name val="Carlito"/>
      <charset val="134"/>
    </font>
    <font>
      <b/>
      <sz val="9"/>
      <color theme="1"/>
      <name val="Calibri"/>
      <charset val="134"/>
      <scheme val="minor"/>
    </font>
    <font>
      <sz val="10"/>
      <color theme="1"/>
      <name val="Calibri (Body)_x0000_"/>
      <charset val="134"/>
    </font>
    <font>
      <sz val="14"/>
      <color theme="1"/>
      <name val="Calibri"/>
      <charset val="134"/>
      <scheme val="minor"/>
    </font>
    <font>
      <b/>
      <sz val="16"/>
      <color rgb="FF000000"/>
      <name val="Calibri"/>
      <charset val="134"/>
    </font>
    <font>
      <b/>
      <sz val="11"/>
      <color rgb="FF000000"/>
      <name val="Calibri"/>
      <charset val="134"/>
    </font>
    <font>
      <sz val="10"/>
      <color rgb="FF000000"/>
      <name val="Calibri"/>
      <charset val="134"/>
    </font>
    <font>
      <b/>
      <sz val="10"/>
      <color rgb="FF000000"/>
      <name val="Calibri"/>
      <charset val="134"/>
    </font>
    <font>
      <sz val="10"/>
      <color rgb="FFFF0000"/>
      <name val="Calibri"/>
      <charset val="134"/>
    </font>
    <font>
      <strike/>
      <sz val="10"/>
      <color rgb="FF000000"/>
      <name val="Calibri"/>
      <charset val="134"/>
    </font>
    <font>
      <sz val="12"/>
      <color rgb="FFFF0000"/>
      <name val="Calibri"/>
      <charset val="134"/>
      <scheme val="minor"/>
    </font>
    <font>
      <sz val="11"/>
      <color theme="1"/>
      <name val="Calibri"/>
      <charset val="129"/>
      <scheme val="minor"/>
    </font>
    <font>
      <b/>
      <u/>
      <sz val="11"/>
      <color rgb="FF000000"/>
      <name val="Calibri"/>
      <charset val="134"/>
      <scheme val="minor"/>
    </font>
    <font>
      <b/>
      <u/>
      <sz val="11"/>
      <name val="Calibri"/>
      <charset val="134"/>
      <scheme val="minor"/>
    </font>
    <font>
      <b/>
      <sz val="11"/>
      <name val="Calibri"/>
      <family val="2"/>
      <scheme val="minor"/>
    </font>
    <font>
      <b/>
      <sz val="11"/>
      <color rgb="FF000000"/>
      <name val="Calibri"/>
      <family val="2"/>
      <scheme val="minor"/>
    </font>
    <font>
      <sz val="1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b/>
      <sz val="14"/>
      <color rgb="FFFFFFFF"/>
      <name val="Calibri"/>
      <family val="2"/>
      <scheme val="minor"/>
    </font>
    <font>
      <b/>
      <sz val="11"/>
      <color rgb="FFFFFFFF"/>
      <name val="Calibri"/>
      <family val="2"/>
      <scheme val="minor"/>
    </font>
    <font>
      <sz val="11"/>
      <color rgb="FF000000"/>
      <name val="Calibri"/>
      <family val="2"/>
      <scheme val="minor"/>
    </font>
    <font>
      <b/>
      <sz val="14"/>
      <color rgb="FF000000"/>
      <name val="Calibri"/>
      <family val="2"/>
      <scheme val="minor"/>
    </font>
    <font>
      <b/>
      <sz val="10"/>
      <name val="Calibri"/>
      <family val="2"/>
      <scheme val="minor"/>
    </font>
    <font>
      <i/>
      <sz val="11"/>
      <color theme="1"/>
      <name val="Calibri"/>
      <family val="2"/>
      <scheme val="minor"/>
    </font>
    <font>
      <sz val="10"/>
      <color rgb="FF000000"/>
      <name val="Calibri"/>
    </font>
    <font>
      <b/>
      <sz val="16"/>
      <color rgb="FF000000"/>
      <name val="Calibri"/>
      <family val="2"/>
    </font>
    <font>
      <sz val="10"/>
      <color rgb="FF000000"/>
      <name val="Calibri"/>
      <family val="2"/>
    </font>
    <font>
      <b/>
      <sz val="10"/>
      <color rgb="FF000000"/>
      <name val="Calibri"/>
      <family val="2"/>
    </font>
    <font>
      <b/>
      <sz val="10"/>
      <name val="Calibri"/>
      <family val="2"/>
    </font>
    <font>
      <sz val="9.5"/>
      <name val="Calibri"/>
      <family val="2"/>
    </font>
    <font>
      <strike/>
      <sz val="10"/>
      <name val="Calibri"/>
      <family val="2"/>
    </font>
    <font>
      <sz val="10"/>
      <name val="Calibri"/>
      <family val="2"/>
    </font>
    <font>
      <b/>
      <sz val="16"/>
      <color rgb="FF00B050"/>
      <name val="Calibri"/>
      <family val="2"/>
    </font>
    <font>
      <b/>
      <sz val="16"/>
      <color rgb="FFFF0000"/>
      <name val="Calibri"/>
      <family val="2"/>
    </font>
    <font>
      <b/>
      <u/>
      <sz val="10"/>
      <color rgb="FF000000"/>
      <name val="Calibri"/>
      <family val="2"/>
    </font>
    <font>
      <sz val="8"/>
      <color rgb="FF000000"/>
      <name val="Calibri"/>
      <family val="2"/>
    </font>
    <font>
      <strike/>
      <sz val="10"/>
      <color rgb="FF000000"/>
      <name val="Calibri"/>
      <family val="2"/>
    </font>
    <font>
      <i/>
      <sz val="10"/>
      <color rgb="FF000000"/>
      <name val="Calibri"/>
      <family val="2"/>
    </font>
    <font>
      <b/>
      <sz val="15"/>
      <color rgb="FF000000"/>
      <name val="Calibri"/>
      <family val="2"/>
    </font>
    <font>
      <b/>
      <sz val="14"/>
      <color rgb="FF000000"/>
      <name val="Calibri"/>
      <family val="2"/>
    </font>
    <font>
      <sz val="12"/>
      <color theme="1"/>
      <name val="Calibri"/>
      <family val="2"/>
      <scheme val="minor"/>
    </font>
    <font>
      <sz val="11"/>
      <color rgb="FF000000"/>
      <name val="Calibri"/>
      <family val="2"/>
    </font>
    <font>
      <b/>
      <sz val="12"/>
      <color rgb="FF000000"/>
      <name val="Calibri"/>
      <family val="2"/>
    </font>
    <font>
      <b/>
      <sz val="11"/>
      <color rgb="FF000000"/>
      <name val="Calibri"/>
      <family val="2"/>
    </font>
    <font>
      <sz val="9"/>
      <color rgb="FF000000"/>
      <name val="Calibri"/>
      <family val="2"/>
    </font>
    <font>
      <b/>
      <sz val="9"/>
      <color theme="1"/>
      <name val="Calibri"/>
      <family val="2"/>
      <scheme val="minor"/>
    </font>
    <font>
      <b/>
      <sz val="16"/>
      <color theme="1"/>
      <name val="Calibri"/>
      <family val="2"/>
      <scheme val="minor"/>
    </font>
    <font>
      <b/>
      <sz val="12"/>
      <color theme="1"/>
      <name val="Calibri"/>
      <family val="2"/>
      <scheme val="minor"/>
    </font>
    <font>
      <b/>
      <sz val="12"/>
      <color rgb="FF000000"/>
      <name val="Segoe UI"/>
      <family val="2"/>
    </font>
    <font>
      <b/>
      <sz val="18"/>
      <color theme="1"/>
      <name val="Calibri"/>
      <family val="2"/>
      <scheme val="minor"/>
    </font>
    <font>
      <sz val="11"/>
      <name val="Carlito"/>
    </font>
    <font>
      <b/>
      <sz val="14"/>
      <name val="Carlito"/>
    </font>
    <font>
      <b/>
      <sz val="11"/>
      <name val="Times New Roman"/>
      <family val="1"/>
    </font>
    <font>
      <sz val="11"/>
      <name val="Times New Roman"/>
      <family val="1"/>
    </font>
    <font>
      <i/>
      <sz val="11"/>
      <name val="Times New Roman"/>
      <family val="1"/>
    </font>
    <font>
      <sz val="14"/>
      <color theme="1"/>
      <name val="Calibri"/>
      <family val="2"/>
      <scheme val="minor"/>
    </font>
    <font>
      <b/>
      <sz val="24"/>
      <color theme="1"/>
      <name val="Calibri"/>
      <charset val="134"/>
      <scheme val="minor"/>
    </font>
  </fonts>
  <fills count="4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indexed="64"/>
      </patternFill>
    </fill>
    <fill>
      <patternFill patternType="solid">
        <fgColor theme="7" tint="0.79995117038483843"/>
        <bgColor indexed="64"/>
      </patternFill>
    </fill>
    <fill>
      <patternFill patternType="solid">
        <fgColor theme="2"/>
        <bgColor indexed="64"/>
      </patternFill>
    </fill>
    <fill>
      <patternFill patternType="solid">
        <fgColor theme="9" tint="0.79995117038483843"/>
        <bgColor indexed="64"/>
      </patternFill>
    </fill>
    <fill>
      <patternFill patternType="solid">
        <fgColor rgb="FFFFC000"/>
        <bgColor indexed="64"/>
      </patternFill>
    </fill>
    <fill>
      <patternFill patternType="solid">
        <fgColor theme="4" tint="0.39994506668294322"/>
        <bgColor indexed="64"/>
      </patternFill>
    </fill>
    <fill>
      <patternFill patternType="solid">
        <fgColor rgb="FFFFFFFF"/>
        <bgColor indexed="64"/>
      </patternFill>
    </fill>
    <fill>
      <patternFill patternType="solid">
        <fgColor rgb="FF1F4E79"/>
        <bgColor indexed="64"/>
      </patternFill>
    </fill>
    <fill>
      <patternFill patternType="solid">
        <fgColor rgb="FF5B9BD5"/>
        <bgColor indexed="64"/>
      </patternFill>
    </fill>
    <fill>
      <patternFill patternType="solid">
        <fgColor rgb="FF8DB3E2"/>
        <bgColor indexed="64"/>
      </patternFill>
    </fill>
    <fill>
      <patternFill patternType="solid">
        <fgColor rgb="FFE2F0D9"/>
        <bgColor indexed="64"/>
      </patternFill>
    </fill>
    <fill>
      <patternFill patternType="solid">
        <fgColor rgb="FFA9D18E"/>
        <bgColor indexed="64"/>
      </patternFill>
    </fill>
    <fill>
      <patternFill patternType="solid">
        <fgColor rgb="FFF2F2F2"/>
        <bgColor indexed="64"/>
      </patternFill>
    </fill>
    <fill>
      <patternFill patternType="solid">
        <fgColor rgb="FFFFFF00"/>
        <bgColor indexed="64"/>
      </patternFill>
    </fill>
    <fill>
      <patternFill patternType="solid">
        <fgColor theme="8" tint="0.79995117038483843"/>
        <bgColor indexed="64"/>
      </patternFill>
    </fill>
    <fill>
      <patternFill patternType="solid">
        <fgColor theme="5" tint="0.79995117038483843"/>
        <bgColor indexed="64"/>
      </patternFill>
    </fill>
    <fill>
      <patternFill patternType="solid">
        <fgColor rgb="FF6D93D8"/>
        <bgColor indexed="64"/>
      </patternFill>
    </fill>
    <fill>
      <patternFill patternType="solid">
        <fgColor rgb="FFD9EAF7"/>
        <bgColor indexed="64"/>
      </patternFill>
    </fill>
    <fill>
      <patternFill patternType="solid">
        <fgColor theme="0" tint="-4.9989318521683403E-2"/>
        <bgColor indexed="64"/>
      </patternFill>
    </fill>
    <fill>
      <patternFill patternType="solid">
        <fgColor rgb="FFE2EFDA"/>
        <bgColor indexed="64"/>
      </patternFill>
    </fill>
    <fill>
      <patternFill patternType="solid">
        <fgColor theme="6" tint="0.79995117038483843"/>
        <bgColor indexed="64"/>
      </patternFill>
    </fill>
    <fill>
      <patternFill patternType="solid">
        <fgColor theme="6" tint="0.79989013336588644"/>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00B0F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DF5EF"/>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0070C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8" tint="0.39997558519241921"/>
        <bgColor indexed="64"/>
      </patternFill>
    </fill>
  </fills>
  <borders count="8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rgb="FF808080"/>
      </right>
      <top style="thin">
        <color auto="1"/>
      </top>
      <bottom style="thin">
        <color auto="1"/>
      </bottom>
      <diagonal/>
    </border>
    <border>
      <left style="thin">
        <color auto="1"/>
      </left>
      <right style="thin">
        <color auto="1"/>
      </right>
      <top style="thin">
        <color auto="1"/>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auto="1"/>
      </right>
      <top style="thin">
        <color rgb="FF808080"/>
      </top>
      <bottom style="thin">
        <color auto="1"/>
      </bottom>
      <diagonal/>
    </border>
    <border>
      <left style="thin">
        <color auto="1"/>
      </left>
      <right style="thin">
        <color auto="1"/>
      </right>
      <top style="thin">
        <color rgb="FF808080"/>
      </top>
      <bottom style="thin">
        <color auto="1"/>
      </bottom>
      <diagonal/>
    </border>
    <border>
      <left style="thin">
        <color auto="1"/>
      </left>
      <right style="thin">
        <color rgb="FF808080"/>
      </right>
      <top style="thin">
        <color rgb="FF808080"/>
      </top>
      <bottom style="thin">
        <color auto="1"/>
      </bottom>
      <diagonal/>
    </border>
    <border>
      <left style="thin">
        <color rgb="FF808080"/>
      </left>
      <right style="thin">
        <color auto="1"/>
      </right>
      <top style="thin">
        <color auto="1"/>
      </top>
      <bottom style="thin">
        <color auto="1"/>
      </bottom>
      <diagonal/>
    </border>
    <border>
      <left/>
      <right style="thin">
        <color rgb="FF808080"/>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auto="1"/>
      </left>
      <right/>
      <top style="medium">
        <color auto="1"/>
      </top>
      <bottom style="thick">
        <color rgb="FF000000"/>
      </bottom>
      <diagonal/>
    </border>
    <border>
      <left/>
      <right/>
      <top style="medium">
        <color auto="1"/>
      </top>
      <bottom style="thick">
        <color rgb="FF000000"/>
      </bottom>
      <diagonal/>
    </border>
    <border>
      <left/>
      <right style="medium">
        <color auto="1"/>
      </right>
      <top style="medium">
        <color auto="1"/>
      </top>
      <bottom style="thick">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medium">
        <color auto="1"/>
      </right>
      <top style="thin">
        <color rgb="FF000000"/>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rgb="FF404040"/>
      </left>
      <right style="thin">
        <color rgb="FF595959"/>
      </right>
      <top style="medium">
        <color rgb="FF404040"/>
      </top>
      <bottom style="thin">
        <color rgb="FF595959"/>
      </bottom>
      <diagonal/>
    </border>
    <border>
      <left style="thin">
        <color rgb="FF595959"/>
      </left>
      <right style="thin">
        <color rgb="FF595959"/>
      </right>
      <top style="medium">
        <color rgb="FF404040"/>
      </top>
      <bottom style="thin">
        <color rgb="FF595959"/>
      </bottom>
      <diagonal/>
    </border>
    <border>
      <left style="thin">
        <color rgb="FF595959"/>
      </left>
      <right style="medium">
        <color rgb="FF404040"/>
      </right>
      <top style="medium">
        <color rgb="FF404040"/>
      </top>
      <bottom style="thin">
        <color rgb="FF595959"/>
      </bottom>
      <diagonal/>
    </border>
    <border>
      <left style="medium">
        <color rgb="FF404040"/>
      </left>
      <right style="thin">
        <color rgb="FF595959"/>
      </right>
      <top style="thin">
        <color rgb="FF595959"/>
      </top>
      <bottom style="medium">
        <color rgb="FF404040"/>
      </bottom>
      <diagonal/>
    </border>
    <border>
      <left style="thin">
        <color rgb="FF595959"/>
      </left>
      <right style="thin">
        <color rgb="FF595959"/>
      </right>
      <top style="thin">
        <color rgb="FF595959"/>
      </top>
      <bottom style="medium">
        <color rgb="FF404040"/>
      </bottom>
      <diagonal/>
    </border>
    <border>
      <left style="thin">
        <color rgb="FF595959"/>
      </left>
      <right style="medium">
        <color rgb="FF404040"/>
      </right>
      <top style="thin">
        <color rgb="FF595959"/>
      </top>
      <bottom style="medium">
        <color rgb="FF404040"/>
      </bottom>
      <diagonal/>
    </border>
    <border>
      <left style="medium">
        <color rgb="FF404040"/>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medium">
        <color rgb="FF404040"/>
      </right>
      <top style="thin">
        <color rgb="FF595959"/>
      </top>
      <bottom style="thin">
        <color rgb="FF595959"/>
      </bottom>
      <diagonal/>
    </border>
    <border>
      <left style="medium">
        <color rgb="FF404040"/>
      </left>
      <right style="thin">
        <color rgb="FF595959"/>
      </right>
      <top style="thin">
        <color rgb="FF595959"/>
      </top>
      <bottom/>
      <diagonal/>
    </border>
    <border>
      <left style="thin">
        <color rgb="FF595959"/>
      </left>
      <right style="thin">
        <color rgb="FF595959"/>
      </right>
      <top style="thin">
        <color rgb="FF595959"/>
      </top>
      <bottom/>
      <diagonal/>
    </border>
    <border>
      <left style="thin">
        <color rgb="FF595959"/>
      </left>
      <right style="medium">
        <color rgb="FF404040"/>
      </right>
      <top style="thin">
        <color rgb="FF595959"/>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s>
  <cellStyleXfs count="4">
    <xf numFmtId="0" fontId="0" fillId="0" borderId="0"/>
    <xf numFmtId="0" fontId="7" fillId="0" borderId="0" applyNumberFormat="0" applyFill="0" applyBorder="0" applyAlignment="0" applyProtection="0"/>
    <xf numFmtId="0" fontId="29" fillId="0" borderId="0">
      <alignment vertical="center"/>
    </xf>
    <xf numFmtId="0" fontId="70" fillId="0" borderId="0"/>
  </cellStyleXfs>
  <cellXfs count="1028">
    <xf numFmtId="0" fontId="0" fillId="0" borderId="0" xfId="0"/>
    <xf numFmtId="0" fontId="0" fillId="2" borderId="1" xfId="0" applyFill="1" applyBorder="1"/>
    <xf numFmtId="0" fontId="4" fillId="0" borderId="1" xfId="0" applyFont="1" applyBorder="1" applyAlignment="1">
      <alignment horizontal="left" vertical="center" wrapText="1"/>
    </xf>
    <xf numFmtId="0" fontId="4" fillId="0" borderId="0" xfId="0" applyFont="1" applyAlignment="1">
      <alignment horizontal="left" vertical="center"/>
    </xf>
    <xf numFmtId="0" fontId="5" fillId="0" borderId="1" xfId="0" applyFont="1" applyBorder="1" applyAlignment="1">
      <alignment horizontal="left" vertical="center" wrapText="1"/>
    </xf>
    <xf numFmtId="0" fontId="6" fillId="0" borderId="0" xfId="0" applyFont="1" applyAlignment="1">
      <alignment horizontal="left" vertical="center"/>
    </xf>
    <xf numFmtId="0" fontId="4" fillId="0" borderId="0" xfId="0" applyFont="1" applyAlignment="1">
      <alignment horizontal="left" vertical="center" wrapText="1"/>
    </xf>
    <xf numFmtId="0" fontId="5" fillId="0" borderId="1" xfId="0" applyFont="1" applyBorder="1" applyAlignment="1">
      <alignment horizontal="left" vertical="center"/>
    </xf>
    <xf numFmtId="0" fontId="6" fillId="2" borderId="0" xfId="0" applyFont="1" applyFill="1" applyAlignment="1">
      <alignment horizontal="left" vertical="center"/>
    </xf>
    <xf numFmtId="14" fontId="5" fillId="0" borderId="1" xfId="0" applyNumberFormat="1" applyFont="1" applyBorder="1" applyAlignment="1">
      <alignment horizontal="left" vertical="center" wrapText="1"/>
    </xf>
    <xf numFmtId="0" fontId="5" fillId="6" borderId="1" xfId="0" applyFont="1" applyFill="1" applyBorder="1" applyAlignment="1">
      <alignment horizontal="left" vertical="center" wrapText="1"/>
    </xf>
    <xf numFmtId="14" fontId="4" fillId="7" borderId="1" xfId="0" applyNumberFormat="1" applyFont="1" applyFill="1" applyBorder="1" applyAlignment="1">
      <alignment horizontal="left" vertical="center" wrapText="1"/>
    </xf>
    <xf numFmtId="0" fontId="4" fillId="0" borderId="0" xfId="0" applyFont="1" applyAlignment="1">
      <alignment horizontal="center" vertical="center"/>
    </xf>
    <xf numFmtId="0" fontId="4" fillId="8" borderId="0" xfId="0" applyFont="1" applyFill="1" applyAlignment="1" applyProtection="1">
      <alignment horizontal="center" vertical="center" wrapText="1"/>
      <protection hidden="1"/>
    </xf>
    <xf numFmtId="0" fontId="4" fillId="7" borderId="0" xfId="0" applyFont="1" applyFill="1" applyAlignment="1" applyProtection="1">
      <alignment horizontal="center" vertical="center"/>
      <protection locked="0"/>
    </xf>
    <xf numFmtId="0" fontId="4" fillId="0" borderId="0" xfId="0" applyFont="1" applyAlignment="1" applyProtection="1">
      <alignment horizontal="center" vertical="center"/>
      <protection hidden="1"/>
    </xf>
    <xf numFmtId="0" fontId="4" fillId="0" borderId="15" xfId="0" applyFont="1" applyBorder="1" applyAlignment="1">
      <alignment horizontal="center" vertical="center"/>
    </xf>
    <xf numFmtId="0" fontId="9" fillId="10"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4" fillId="0" borderId="0" xfId="0" applyFont="1"/>
    <xf numFmtId="0" fontId="4" fillId="0" borderId="9" xfId="0" applyFont="1" applyBorder="1"/>
    <xf numFmtId="0" fontId="11" fillId="0" borderId="0" xfId="1" applyFont="1"/>
    <xf numFmtId="0" fontId="5"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4" fillId="7" borderId="1" xfId="0" applyFont="1" applyFill="1" applyBorder="1" applyAlignment="1">
      <alignment horizontal="center" vertical="center" wrapText="1"/>
    </xf>
    <xf numFmtId="0" fontId="5" fillId="0" borderId="6" xfId="0" applyFont="1" applyBorder="1" applyAlignment="1">
      <alignment vertical="center"/>
    </xf>
    <xf numFmtId="0" fontId="5" fillId="0" borderId="6" xfId="0" applyFont="1" applyBorder="1" applyAlignment="1">
      <alignment horizontal="left" vertical="center"/>
    </xf>
    <xf numFmtId="0" fontId="11" fillId="0" borderId="0" xfId="1" applyFont="1" applyAlignment="1">
      <alignment horizontal="left" vertical="center"/>
    </xf>
    <xf numFmtId="166" fontId="4" fillId="7" borderId="3" xfId="0" applyNumberFormat="1" applyFont="1" applyFill="1" applyBorder="1" applyAlignment="1">
      <alignment horizontal="left" vertical="center" wrapText="1"/>
    </xf>
    <xf numFmtId="0" fontId="4" fillId="7" borderId="1" xfId="0" applyFont="1" applyFill="1" applyBorder="1" applyAlignment="1" applyProtection="1">
      <alignment horizontal="left" vertical="center"/>
      <protection locked="0"/>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6" xfId="0"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0" fontId="13" fillId="7" borderId="1" xfId="0" applyFont="1" applyFill="1" applyBorder="1" applyAlignment="1">
      <alignment horizontal="left" vertical="center" wrapText="1"/>
    </xf>
    <xf numFmtId="49" fontId="16" fillId="2" borderId="0" xfId="0" applyNumberFormat="1" applyFont="1" applyFill="1" applyAlignment="1">
      <alignment vertical="center" wrapText="1"/>
    </xf>
    <xf numFmtId="0" fontId="10" fillId="2" borderId="1" xfId="0" applyFont="1" applyFill="1" applyBorder="1" applyAlignment="1">
      <alignment horizontal="left" vertical="center" wrapText="1"/>
    </xf>
    <xf numFmtId="0" fontId="5" fillId="7" borderId="1" xfId="0" applyFont="1" applyFill="1" applyBorder="1" applyAlignment="1">
      <alignment vertical="center" wrapText="1"/>
    </xf>
    <xf numFmtId="0" fontId="4" fillId="0" borderId="6" xfId="0" applyFont="1" applyBorder="1" applyAlignment="1">
      <alignment horizontal="left" vertical="center"/>
    </xf>
    <xf numFmtId="0" fontId="10" fillId="0" borderId="1" xfId="0" applyFont="1" applyBorder="1" applyAlignment="1">
      <alignment horizontal="left" vertical="center" wrapText="1"/>
    </xf>
    <xf numFmtId="0" fontId="4" fillId="0" borderId="1" xfId="2" applyFont="1" applyBorder="1" applyAlignment="1">
      <alignment horizontal="left" vertical="center"/>
    </xf>
    <xf numFmtId="17" fontId="4" fillId="0" borderId="0" xfId="0" applyNumberFormat="1" applyFont="1" applyAlignment="1">
      <alignment horizontal="left" vertical="center"/>
    </xf>
    <xf numFmtId="0" fontId="0" fillId="2" borderId="0" xfId="0" applyFill="1"/>
    <xf numFmtId="0" fontId="4" fillId="2" borderId="0" xfId="0" applyFont="1" applyFill="1"/>
    <xf numFmtId="0" fontId="0" fillId="0" borderId="1" xfId="0" applyBorder="1" applyAlignment="1">
      <alignment wrapText="1"/>
    </xf>
    <xf numFmtId="17" fontId="4" fillId="0" borderId="0" xfId="0" applyNumberFormat="1" applyFont="1"/>
    <xf numFmtId="0" fontId="0" fillId="0" borderId="13" xfId="0" applyBorder="1" applyAlignment="1">
      <alignment wrapText="1"/>
    </xf>
    <xf numFmtId="0" fontId="19" fillId="0" borderId="6" xfId="0" applyFont="1" applyBorder="1" applyAlignment="1">
      <alignment horizontal="left"/>
    </xf>
    <xf numFmtId="0" fontId="19" fillId="0" borderId="0" xfId="0" applyFont="1" applyAlignment="1">
      <alignment horizontal="left"/>
    </xf>
    <xf numFmtId="49" fontId="16" fillId="2" borderId="0" xfId="0" applyNumberFormat="1" applyFont="1" applyFill="1" applyAlignment="1">
      <alignment horizontal="center" vertical="center" wrapText="1"/>
    </xf>
    <xf numFmtId="0" fontId="20" fillId="2" borderId="0" xfId="0" applyFont="1" applyFill="1" applyAlignment="1" applyProtection="1">
      <alignment horizontal="left" vertical="center" wrapText="1"/>
      <protection locked="0"/>
    </xf>
    <xf numFmtId="0" fontId="9" fillId="0" borderId="4" xfId="0" applyFont="1" applyBorder="1" applyAlignment="1">
      <alignment horizontal="left" vertical="center" wrapText="1"/>
    </xf>
    <xf numFmtId="0" fontId="9" fillId="0" borderId="1" xfId="0" applyFont="1" applyBorder="1" applyAlignment="1">
      <alignment horizontal="left" vertical="center" wrapText="1"/>
    </xf>
    <xf numFmtId="0" fontId="10" fillId="2" borderId="1" xfId="0" applyFont="1" applyFill="1" applyBorder="1" applyAlignment="1" applyProtection="1">
      <alignment horizontal="left" vertical="center" wrapText="1"/>
      <protection locked="0"/>
    </xf>
    <xf numFmtId="0" fontId="9" fillId="10" borderId="1" xfId="0" applyFont="1" applyFill="1" applyBorder="1" applyAlignment="1">
      <alignment horizontal="center" vertical="center" wrapText="1"/>
    </xf>
    <xf numFmtId="0" fontId="0" fillId="0" borderId="0" xfId="0" applyAlignment="1">
      <alignment horizontal="center"/>
    </xf>
    <xf numFmtId="0" fontId="10" fillId="23" borderId="1" xfId="0" applyFont="1" applyFill="1" applyBorder="1" applyAlignment="1" applyProtection="1">
      <alignment horizontal="left" vertical="center" wrapText="1"/>
      <protection locked="0"/>
    </xf>
    <xf numFmtId="0" fontId="0" fillId="0" borderId="32" xfId="0" applyBorder="1" applyAlignment="1">
      <alignment horizontal="center" vertical="center" wrapText="1"/>
    </xf>
    <xf numFmtId="0" fontId="0" fillId="0" borderId="1" xfId="0" applyBorder="1" applyAlignment="1">
      <alignment horizontal="center" vertical="center" wrapText="1"/>
    </xf>
    <xf numFmtId="0" fontId="0" fillId="0" borderId="40" xfId="0" applyBorder="1" applyAlignment="1">
      <alignment horizontal="center" vertical="center" wrapText="1"/>
    </xf>
    <xf numFmtId="0" fontId="9" fillId="23" borderId="1" xfId="0" applyFont="1" applyFill="1" applyBorder="1" applyAlignment="1" applyProtection="1">
      <alignment horizontal="left" vertical="center" wrapText="1"/>
      <protection locked="0"/>
    </xf>
    <xf numFmtId="0" fontId="9" fillId="23" borderId="1" xfId="0" applyFont="1" applyFill="1" applyBorder="1" applyAlignment="1" applyProtection="1">
      <alignment horizontal="center" vertical="center" wrapText="1"/>
      <protection locked="0"/>
    </xf>
    <xf numFmtId="0" fontId="4" fillId="7" borderId="13" xfId="0" applyFont="1" applyFill="1" applyBorder="1" applyAlignment="1" applyProtection="1">
      <alignment horizontal="left" vertical="center" wrapText="1"/>
      <protection locked="0"/>
    </xf>
    <xf numFmtId="0" fontId="4" fillId="7" borderId="1" xfId="0" applyFont="1" applyFill="1" applyBorder="1" applyAlignment="1" applyProtection="1">
      <alignment horizontal="left" vertical="center" wrapText="1"/>
      <protection locked="0"/>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166" fontId="4" fillId="7" borderId="1" xfId="0" applyNumberFormat="1" applyFont="1" applyFill="1" applyBorder="1" applyAlignment="1" applyProtection="1">
      <alignment horizontal="left" vertical="center" wrapText="1"/>
      <protection locked="0"/>
    </xf>
    <xf numFmtId="49" fontId="5" fillId="0" borderId="1" xfId="0" applyNumberFormat="1" applyFont="1" applyBorder="1" applyAlignment="1">
      <alignment horizontal="left" vertical="center" wrapText="1"/>
    </xf>
    <xf numFmtId="166" fontId="5" fillId="0" borderId="1" xfId="0" applyNumberFormat="1" applyFont="1" applyBorder="1" applyAlignment="1">
      <alignment horizontal="left" vertical="center" wrapText="1"/>
    </xf>
    <xf numFmtId="0" fontId="17" fillId="0" borderId="0" xfId="0" applyFont="1" applyAlignment="1">
      <alignment horizontal="center"/>
    </xf>
    <xf numFmtId="0" fontId="7" fillId="0" borderId="0" xfId="1" applyAlignment="1">
      <alignment horizontal="center"/>
    </xf>
    <xf numFmtId="0" fontId="23" fillId="2"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6" borderId="4" xfId="0" applyFont="1" applyFill="1" applyBorder="1" applyAlignment="1" applyProtection="1">
      <alignment horizontal="center" vertical="center" wrapText="1"/>
      <protection locked="0"/>
    </xf>
    <xf numFmtId="0" fontId="25" fillId="2" borderId="1" xfId="0" applyFont="1" applyFill="1" applyBorder="1" applyAlignment="1">
      <alignment horizontal="center" vertical="center" wrapText="1"/>
    </xf>
    <xf numFmtId="0" fontId="25" fillId="2"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5" fillId="6" borderId="1" xfId="0" applyFont="1" applyFill="1" applyBorder="1" applyAlignment="1" applyProtection="1">
      <alignment horizontal="center" vertical="center" wrapText="1"/>
      <protection locked="0"/>
    </xf>
    <xf numFmtId="0" fontId="25" fillId="2" borderId="3" xfId="0" applyFont="1" applyFill="1" applyBorder="1" applyAlignment="1">
      <alignment horizontal="center" vertical="center" wrapText="1"/>
    </xf>
    <xf numFmtId="0" fontId="25" fillId="6" borderId="1" xfId="0" applyFont="1" applyFill="1" applyBorder="1" applyAlignment="1">
      <alignment vertical="center" wrapText="1"/>
    </xf>
    <xf numFmtId="0" fontId="25" fillId="6" borderId="3" xfId="0" applyFont="1" applyFill="1" applyBorder="1" applyAlignment="1">
      <alignment vertical="center" wrapText="1"/>
    </xf>
    <xf numFmtId="0" fontId="25" fillId="2" borderId="2" xfId="0" applyFont="1" applyFill="1" applyBorder="1" applyAlignment="1">
      <alignment vertical="center" wrapText="1"/>
    </xf>
    <xf numFmtId="0" fontId="24" fillId="0" borderId="1" xfId="0" applyFont="1" applyBorder="1" applyAlignment="1">
      <alignment horizontal="center" vertical="center" wrapText="1"/>
    </xf>
    <xf numFmtId="0" fontId="0" fillId="29" borderId="1" xfId="0" applyFill="1" applyBorder="1" applyAlignment="1">
      <alignment vertical="center" wrapText="1"/>
    </xf>
    <xf numFmtId="0" fontId="17" fillId="0" borderId="1" xfId="0" applyFont="1" applyBorder="1"/>
    <xf numFmtId="0" fontId="0" fillId="0" borderId="1" xfId="0" applyBorder="1"/>
    <xf numFmtId="0" fontId="7" fillId="0" borderId="1" xfId="1" applyBorder="1"/>
    <xf numFmtId="0" fontId="28" fillId="0" borderId="1" xfId="0" applyFont="1" applyBorder="1"/>
    <xf numFmtId="0" fontId="17" fillId="0" borderId="1" xfId="0" applyFont="1" applyBorder="1" applyAlignment="1">
      <alignment horizontal="center" vertical="center" wrapText="1"/>
    </xf>
    <xf numFmtId="0" fontId="33" fillId="15" borderId="1" xfId="0" applyFont="1" applyFill="1" applyBorder="1" applyAlignment="1">
      <alignment horizontal="center" vertical="center" wrapText="1"/>
    </xf>
    <xf numFmtId="0" fontId="32" fillId="2" borderId="0" xfId="0" applyFont="1" applyFill="1" applyAlignment="1">
      <alignment vertical="center" wrapText="1"/>
    </xf>
    <xf numFmtId="0" fontId="32" fillId="16" borderId="31" xfId="0" applyFont="1" applyFill="1" applyBorder="1" applyAlignment="1">
      <alignment horizontal="center" vertical="top" wrapText="1"/>
    </xf>
    <xf numFmtId="0" fontId="34" fillId="0" borderId="14" xfId="0" applyFont="1" applyBorder="1" applyAlignment="1">
      <alignment vertical="top" wrapText="1"/>
    </xf>
    <xf numFmtId="0" fontId="35" fillId="2" borderId="10" xfId="0" applyFont="1" applyFill="1" applyBorder="1" applyAlignment="1">
      <alignment horizontal="center" vertical="center" wrapText="1"/>
    </xf>
    <xf numFmtId="0" fontId="32" fillId="14" borderId="14" xfId="0" applyFont="1" applyFill="1" applyBorder="1" applyAlignment="1">
      <alignment horizontal="center" vertical="center" wrapText="1"/>
    </xf>
    <xf numFmtId="0" fontId="34" fillId="2" borderId="0" xfId="0" applyFont="1" applyFill="1" applyAlignment="1">
      <alignment vertical="top" wrapText="1"/>
    </xf>
    <xf numFmtId="0" fontId="32" fillId="16" borderId="32" xfId="0" applyFont="1" applyFill="1" applyBorder="1" applyAlignment="1">
      <alignment horizontal="center" vertical="top" wrapText="1"/>
    </xf>
    <xf numFmtId="0" fontId="34" fillId="0" borderId="1" xfId="0" applyFont="1" applyBorder="1" applyAlignment="1">
      <alignment vertical="top" wrapText="1"/>
    </xf>
    <xf numFmtId="0" fontId="32" fillId="14" borderId="1" xfId="0" applyFont="1" applyFill="1" applyBorder="1" applyAlignment="1">
      <alignment horizontal="center" vertical="center" wrapText="1"/>
    </xf>
    <xf numFmtId="0" fontId="32" fillId="16" borderId="33" xfId="0" applyFont="1" applyFill="1" applyBorder="1" applyAlignment="1">
      <alignment horizontal="center" vertical="top" wrapText="1"/>
    </xf>
    <xf numFmtId="0" fontId="34" fillId="0" borderId="13" xfId="0" applyFont="1" applyBorder="1" applyAlignment="1">
      <alignment vertical="top" wrapText="1"/>
    </xf>
    <xf numFmtId="0" fontId="35" fillId="2" borderId="8" xfId="0" applyFont="1" applyFill="1" applyBorder="1" applyAlignment="1">
      <alignment horizontal="center" vertical="center" wrapText="1"/>
    </xf>
    <xf numFmtId="49" fontId="37" fillId="2" borderId="0" xfId="0" applyNumberFormat="1" applyFont="1" applyFill="1" applyAlignment="1">
      <alignment vertical="center" wrapText="1"/>
    </xf>
    <xf numFmtId="0" fontId="38" fillId="2" borderId="0" xfId="0" applyFont="1" applyFill="1" applyAlignment="1">
      <alignment vertical="center"/>
    </xf>
    <xf numFmtId="0" fontId="39" fillId="2" borderId="0" xfId="0" applyFont="1" applyFill="1" applyAlignment="1">
      <alignment vertical="center"/>
    </xf>
    <xf numFmtId="0" fontId="33" fillId="2" borderId="0" xfId="0" applyFont="1" applyFill="1" applyAlignment="1">
      <alignment vertical="center"/>
    </xf>
    <xf numFmtId="0" fontId="40" fillId="10" borderId="1" xfId="0" applyFont="1" applyFill="1" applyBorder="1" applyAlignment="1">
      <alignment vertical="top" wrapText="1"/>
    </xf>
    <xf numFmtId="0" fontId="40" fillId="14" borderId="1" xfId="0" applyFont="1" applyFill="1" applyBorder="1" applyAlignment="1">
      <alignment vertical="top" wrapText="1"/>
    </xf>
    <xf numFmtId="0" fontId="40" fillId="2" borderId="0" xfId="0" applyFont="1" applyFill="1" applyAlignment="1">
      <alignment vertical="top" wrapText="1"/>
    </xf>
    <xf numFmtId="0" fontId="34" fillId="0" borderId="0" xfId="0" applyFont="1"/>
    <xf numFmtId="0" fontId="33" fillId="2" borderId="0" xfId="0" applyFont="1" applyFill="1" applyAlignment="1">
      <alignment vertical="center" wrapText="1"/>
    </xf>
    <xf numFmtId="0" fontId="40" fillId="14" borderId="1" xfId="0" applyFont="1" applyFill="1" applyBorder="1" applyAlignment="1">
      <alignment horizontal="center" vertical="center" wrapText="1"/>
    </xf>
    <xf numFmtId="0" fontId="40" fillId="2" borderId="0" xfId="0" applyFont="1" applyFill="1" applyAlignment="1">
      <alignment vertical="center" wrapText="1"/>
    </xf>
    <xf numFmtId="0" fontId="40" fillId="14" borderId="2" xfId="0" applyFont="1" applyFill="1" applyBorder="1" applyAlignment="1">
      <alignment vertical="top" wrapText="1"/>
    </xf>
    <xf numFmtId="0" fontId="40" fillId="14" borderId="3" xfId="0" applyFont="1" applyFill="1" applyBorder="1" applyAlignment="1">
      <alignment vertical="top" wrapText="1"/>
    </xf>
    <xf numFmtId="0" fontId="40" fillId="14" borderId="4" xfId="0" applyFont="1" applyFill="1" applyBorder="1" applyAlignment="1">
      <alignment vertical="top" wrapText="1"/>
    </xf>
    <xf numFmtId="0" fontId="3" fillId="0" borderId="0" xfId="0" applyFont="1" applyAlignment="1">
      <alignment horizontal="left" vertical="center"/>
    </xf>
    <xf numFmtId="0" fontId="34" fillId="2" borderId="0" xfId="0" applyFont="1" applyFill="1"/>
    <xf numFmtId="0" fontId="36" fillId="2" borderId="0" xfId="0" applyFont="1" applyFill="1" applyAlignment="1">
      <alignment vertical="center"/>
    </xf>
    <xf numFmtId="0" fontId="32" fillId="16" borderId="1" xfId="0" applyFont="1" applyFill="1" applyBorder="1" applyAlignment="1">
      <alignment vertical="center" wrapText="1"/>
    </xf>
    <xf numFmtId="0" fontId="34" fillId="0" borderId="1" xfId="0" applyFont="1" applyBorder="1" applyAlignment="1">
      <alignment vertical="center" wrapText="1"/>
    </xf>
    <xf numFmtId="0" fontId="32" fillId="21" borderId="1" xfId="0" applyFont="1" applyFill="1" applyBorder="1" applyAlignment="1">
      <alignment horizontal="center" vertical="center" wrapText="1"/>
    </xf>
    <xf numFmtId="0" fontId="32" fillId="16" borderId="1" xfId="0" applyFont="1" applyFill="1" applyBorder="1" applyAlignment="1">
      <alignment wrapText="1"/>
    </xf>
    <xf numFmtId="0" fontId="34" fillId="0" borderId="1" xfId="0" applyFont="1" applyBorder="1" applyAlignment="1">
      <alignment wrapText="1"/>
    </xf>
    <xf numFmtId="0" fontId="32" fillId="21" borderId="1" xfId="0" applyFont="1" applyFill="1" applyBorder="1" applyAlignment="1">
      <alignment horizontal="center" wrapText="1"/>
    </xf>
    <xf numFmtId="0" fontId="34" fillId="0" borderId="1" xfId="0" applyFont="1" applyBorder="1"/>
    <xf numFmtId="0" fontId="43" fillId="0" borderId="0" xfId="0" applyFont="1" applyAlignment="1">
      <alignment horizontal="left" vertical="center"/>
    </xf>
    <xf numFmtId="0" fontId="32" fillId="2" borderId="0" xfId="0" applyFont="1" applyFill="1"/>
    <xf numFmtId="0" fontId="50" fillId="6" borderId="1" xfId="0" applyFont="1" applyFill="1" applyBorder="1" applyAlignment="1" applyProtection="1">
      <alignment horizontal="center" vertical="center" wrapText="1"/>
      <protection locked="0"/>
    </xf>
    <xf numFmtId="0" fontId="46" fillId="32" borderId="3" xfId="0" applyFont="1" applyFill="1" applyBorder="1" applyAlignment="1">
      <alignment horizontal="center" vertical="center" wrapText="1"/>
    </xf>
    <xf numFmtId="0" fontId="46" fillId="0" borderId="3" xfId="0" applyFont="1" applyBorder="1" applyAlignment="1">
      <alignment horizontal="center" vertical="center" wrapText="1"/>
    </xf>
    <xf numFmtId="0" fontId="46" fillId="32" borderId="4" xfId="0" applyFont="1" applyFill="1" applyBorder="1" applyAlignment="1">
      <alignment horizontal="center" vertical="center" wrapText="1"/>
    </xf>
    <xf numFmtId="0" fontId="0" fillId="32" borderId="4" xfId="0" applyFill="1" applyBorder="1" applyAlignment="1" applyProtection="1">
      <alignment horizontal="center" vertical="center"/>
      <protection locked="0"/>
    </xf>
    <xf numFmtId="0" fontId="46" fillId="32" borderId="1" xfId="0" applyFont="1" applyFill="1" applyBorder="1" applyAlignment="1" applyProtection="1">
      <alignment horizontal="center" vertical="center" wrapText="1"/>
      <protection locked="0"/>
    </xf>
    <xf numFmtId="0" fontId="46" fillId="2" borderId="2" xfId="0" applyFont="1" applyFill="1" applyBorder="1" applyAlignment="1" applyProtection="1">
      <alignment horizontal="center" vertical="center" wrapText="1"/>
      <protection locked="0"/>
    </xf>
    <xf numFmtId="0" fontId="46" fillId="2" borderId="3" xfId="0" applyFont="1" applyFill="1" applyBorder="1" applyAlignment="1" applyProtection="1">
      <alignment horizontal="center" vertical="center" wrapText="1"/>
      <protection locked="0"/>
    </xf>
    <xf numFmtId="0" fontId="46" fillId="2" borderId="4" xfId="0" applyFont="1" applyFill="1" applyBorder="1" applyAlignment="1" applyProtection="1">
      <alignment horizontal="center" vertical="center" wrapText="1"/>
      <protection locked="0"/>
    </xf>
    <xf numFmtId="0" fontId="57" fillId="2" borderId="2" xfId="0" applyFont="1" applyFill="1" applyBorder="1" applyAlignment="1" applyProtection="1">
      <alignment horizontal="center" vertical="center" wrapText="1"/>
      <protection locked="0"/>
    </xf>
    <xf numFmtId="0" fontId="57" fillId="2" borderId="3" xfId="0" applyFont="1" applyFill="1" applyBorder="1" applyAlignment="1" applyProtection="1">
      <alignment horizontal="center" vertical="center" wrapText="1"/>
      <protection locked="0"/>
    </xf>
    <xf numFmtId="0" fontId="57" fillId="2" borderId="4" xfId="0" applyFont="1" applyFill="1" applyBorder="1" applyAlignment="1" applyProtection="1">
      <alignment horizontal="center" vertical="center" wrapText="1"/>
      <protection locked="0"/>
    </xf>
    <xf numFmtId="0" fontId="47" fillId="30" borderId="2" xfId="0" applyFont="1" applyFill="1" applyBorder="1" applyAlignment="1">
      <alignment horizontal="center" vertical="center" wrapText="1"/>
    </xf>
    <xf numFmtId="0" fontId="47" fillId="30" borderId="1" xfId="0" applyFont="1" applyFill="1" applyBorder="1" applyAlignment="1">
      <alignment vertical="center"/>
    </xf>
    <xf numFmtId="0" fontId="56" fillId="29" borderId="4" xfId="0" applyFont="1" applyFill="1" applyBorder="1" applyAlignment="1">
      <alignment horizontal="center" vertical="center" wrapText="1"/>
    </xf>
    <xf numFmtId="0" fontId="56" fillId="3" borderId="4" xfId="0" applyFont="1" applyFill="1" applyBorder="1" applyAlignment="1">
      <alignment horizontal="center" vertical="center" wrapText="1"/>
    </xf>
    <xf numFmtId="0" fontId="47" fillId="34" borderId="1" xfId="0" applyFont="1" applyFill="1" applyBorder="1" applyAlignment="1">
      <alignment horizontal="center" vertical="center" wrapText="1"/>
    </xf>
    <xf numFmtId="0" fontId="47" fillId="34" borderId="2" xfId="0" applyFont="1" applyFill="1" applyBorder="1" applyAlignment="1">
      <alignment horizontal="center" vertical="center" wrapText="1"/>
    </xf>
    <xf numFmtId="0" fontId="47" fillId="34" borderId="4" xfId="0" applyFont="1" applyFill="1" applyBorder="1" applyAlignment="1" applyProtection="1">
      <alignment horizontal="center" vertical="center" wrapText="1"/>
      <protection locked="0"/>
    </xf>
    <xf numFmtId="0" fontId="47" fillId="34" borderId="1" xfId="0" applyFont="1" applyFill="1" applyBorder="1" applyAlignment="1" applyProtection="1">
      <alignment horizontal="center" vertical="center" wrapText="1"/>
      <protection locked="0"/>
    </xf>
    <xf numFmtId="0" fontId="46" fillId="0" borderId="1" xfId="0" applyFont="1" applyBorder="1" applyAlignment="1">
      <alignment horizontal="center" vertical="center" wrapText="1"/>
    </xf>
    <xf numFmtId="0" fontId="40" fillId="0" borderId="50" xfId="0" applyFont="1" applyBorder="1" applyAlignment="1">
      <alignment horizontal="center" vertical="center"/>
    </xf>
    <xf numFmtId="0" fontId="40" fillId="0" borderId="51" xfId="0" applyFont="1" applyBorder="1" applyAlignment="1">
      <alignment horizontal="center" vertical="center"/>
    </xf>
    <xf numFmtId="0" fontId="40" fillId="0" borderId="52" xfId="0" applyFont="1" applyBorder="1" applyAlignment="1">
      <alignment horizontal="center" vertical="center"/>
    </xf>
    <xf numFmtId="0" fontId="40" fillId="0" borderId="53" xfId="0" applyFont="1" applyBorder="1" applyAlignment="1">
      <alignment horizontal="center" vertical="center"/>
    </xf>
    <xf numFmtId="0" fontId="66" fillId="0" borderId="0" xfId="0" applyFont="1" applyAlignment="1">
      <alignment vertical="center"/>
    </xf>
    <xf numFmtId="0" fontId="40" fillId="0" borderId="32" xfId="0" applyFont="1" applyBorder="1" applyAlignment="1">
      <alignment horizontal="center" vertical="center"/>
    </xf>
    <xf numFmtId="0" fontId="40" fillId="0" borderId="1" xfId="0" applyFont="1" applyBorder="1" applyAlignment="1">
      <alignment horizontal="center" vertical="center"/>
    </xf>
    <xf numFmtId="0" fontId="40" fillId="0" borderId="40" xfId="0" applyFont="1" applyBorder="1" applyAlignment="1">
      <alignment horizontal="center" vertical="center"/>
    </xf>
    <xf numFmtId="0" fontId="40" fillId="0" borderId="41" xfId="0" applyFont="1" applyBorder="1" applyAlignment="1">
      <alignment horizontal="center" vertical="center"/>
    </xf>
    <xf numFmtId="0" fontId="17" fillId="0" borderId="0" xfId="0" applyFont="1" applyAlignment="1">
      <alignment horizontal="center" vertical="center" wrapText="1"/>
    </xf>
    <xf numFmtId="0" fontId="17" fillId="0" borderId="1" xfId="0" applyFont="1" applyBorder="1" applyAlignment="1">
      <alignment horizontal="center" wrapText="1"/>
    </xf>
    <xf numFmtId="0" fontId="17" fillId="0" borderId="1" xfId="0" applyFont="1" applyBorder="1" applyAlignment="1">
      <alignment horizontal="right"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right" wrapText="1"/>
    </xf>
    <xf numFmtId="9" fontId="0" fillId="0" borderId="1" xfId="0" applyNumberFormat="1" applyBorder="1" applyAlignment="1">
      <alignment horizontal="right" wrapText="1"/>
    </xf>
    <xf numFmtId="0" fontId="0" fillId="0" borderId="0" xfId="0" applyAlignment="1">
      <alignment horizontal="right" vertical="center" wrapText="1"/>
    </xf>
    <xf numFmtId="0" fontId="17" fillId="0" borderId="1" xfId="0" applyFont="1" applyBorder="1" applyAlignment="1">
      <alignment vertical="center" wrapText="1"/>
    </xf>
    <xf numFmtId="0" fontId="17" fillId="0" borderId="1" xfId="0" applyFont="1" applyBorder="1" applyAlignment="1">
      <alignment horizontal="right" vertical="center" wrapText="1"/>
    </xf>
    <xf numFmtId="0" fontId="40" fillId="0" borderId="0" xfId="0" applyFont="1" applyAlignment="1">
      <alignment horizontal="center" vertical="center"/>
    </xf>
    <xf numFmtId="0" fontId="12" fillId="0" borderId="32" xfId="0" applyFont="1" applyBorder="1" applyAlignment="1">
      <alignment horizontal="right" wrapText="1"/>
    </xf>
    <xf numFmtId="0" fontId="12" fillId="0" borderId="1" xfId="0" applyFont="1" applyBorder="1" applyAlignment="1">
      <alignment horizontal="right" wrapText="1"/>
    </xf>
    <xf numFmtId="0" fontId="12" fillId="0" borderId="40" xfId="0" applyFont="1" applyBorder="1" applyAlignment="1">
      <alignment horizontal="center" wrapText="1"/>
    </xf>
    <xf numFmtId="0" fontId="21" fillId="0" borderId="32"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40" xfId="0" applyFont="1" applyBorder="1" applyAlignment="1">
      <alignment horizontal="center" vertical="center" wrapText="1"/>
    </xf>
    <xf numFmtId="0" fontId="21" fillId="0" borderId="41" xfId="0" applyFont="1" applyBorder="1" applyAlignment="1">
      <alignment horizontal="center" vertical="center" wrapText="1"/>
    </xf>
    <xf numFmtId="0" fontId="0" fillId="0" borderId="13" xfId="0" applyBorder="1" applyAlignment="1">
      <alignment horizontal="right" vertical="center" wrapText="1"/>
    </xf>
    <xf numFmtId="0" fontId="0" fillId="0" borderId="13" xfId="0" applyBorder="1" applyAlignment="1">
      <alignment vertical="center" wrapText="1"/>
    </xf>
    <xf numFmtId="0" fontId="72" fillId="0" borderId="68" xfId="3" applyFont="1" applyBorder="1" applyAlignment="1">
      <alignment horizontal="center" vertical="center" wrapText="1"/>
    </xf>
    <xf numFmtId="0" fontId="72" fillId="0" borderId="69" xfId="3" applyFont="1" applyBorder="1" applyAlignment="1">
      <alignment horizontal="center" vertical="center" wrapText="1"/>
    </xf>
    <xf numFmtId="0" fontId="72" fillId="0" borderId="70" xfId="3" applyFont="1" applyBorder="1" applyAlignment="1">
      <alignment horizontal="center" vertical="center" wrapText="1"/>
    </xf>
    <xf numFmtId="0" fontId="73" fillId="0" borderId="71" xfId="3" applyFont="1" applyBorder="1" applyAlignment="1">
      <alignment horizontal="center" vertical="center" wrapText="1"/>
    </xf>
    <xf numFmtId="0" fontId="74" fillId="0" borderId="72" xfId="3" applyFont="1" applyBorder="1" applyAlignment="1">
      <alignment horizontal="center" vertical="center" wrapText="1"/>
    </xf>
    <xf numFmtId="0" fontId="74" fillId="0" borderId="73" xfId="3" applyFont="1" applyBorder="1" applyAlignment="1">
      <alignment horizontal="center" vertical="center" wrapText="1"/>
    </xf>
    <xf numFmtId="0" fontId="73" fillId="0" borderId="74" xfId="3" applyFont="1" applyBorder="1" applyAlignment="1">
      <alignment horizontal="center" vertical="center" wrapText="1"/>
    </xf>
    <xf numFmtId="0" fontId="73" fillId="0" borderId="75" xfId="3" applyFont="1" applyBorder="1" applyAlignment="1">
      <alignment horizontal="center" vertical="center" wrapText="1"/>
    </xf>
    <xf numFmtId="0" fontId="73" fillId="0" borderId="77" xfId="3" applyFont="1" applyBorder="1" applyAlignment="1">
      <alignment horizontal="center" vertical="center" wrapText="1"/>
    </xf>
    <xf numFmtId="0" fontId="73" fillId="0" borderId="78" xfId="3" applyFont="1" applyBorder="1" applyAlignment="1">
      <alignment horizontal="center" vertical="center" wrapText="1"/>
    </xf>
    <xf numFmtId="0" fontId="34" fillId="0" borderId="0" xfId="0" applyFont="1" applyAlignment="1">
      <alignment wrapText="1"/>
    </xf>
    <xf numFmtId="0" fontId="34" fillId="0" borderId="0" xfId="0" applyFont="1" applyAlignment="1">
      <alignment horizontal="center" vertical="center" wrapText="1"/>
    </xf>
    <xf numFmtId="9" fontId="34" fillId="0" borderId="0" xfId="0" applyNumberFormat="1" applyFont="1" applyAlignment="1">
      <alignment horizontal="center" vertical="center" wrapText="1"/>
    </xf>
    <xf numFmtId="0" fontId="2" fillId="0" borderId="0" xfId="0" applyFont="1" applyAlignment="1">
      <alignment horizontal="left" vertical="center"/>
    </xf>
    <xf numFmtId="0" fontId="40" fillId="2" borderId="1" xfId="0" applyFont="1" applyFill="1" applyBorder="1" applyAlignment="1">
      <alignment horizontal="center" vertical="center" wrapText="1"/>
    </xf>
    <xf numFmtId="0" fontId="36" fillId="7" borderId="1" xfId="0" applyFont="1" applyFill="1" applyBorder="1" applyAlignment="1">
      <alignment vertical="center" wrapText="1"/>
    </xf>
    <xf numFmtId="0" fontId="36" fillId="0" borderId="1" xfId="2" applyFont="1" applyBorder="1" applyAlignment="1">
      <alignment horizontal="left" vertical="center"/>
    </xf>
    <xf numFmtId="0" fontId="5"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7" fillId="0" borderId="1" xfId="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4" fontId="4" fillId="0" borderId="2" xfId="0" applyNumberFormat="1" applyFont="1" applyBorder="1" applyAlignment="1">
      <alignment horizontal="left" vertical="center" wrapText="1"/>
    </xf>
    <xf numFmtId="14" fontId="4" fillId="0" borderId="3" xfId="0" applyNumberFormat="1" applyFont="1" applyBorder="1" applyAlignment="1">
      <alignment horizontal="left" vertical="center" wrapText="1"/>
    </xf>
    <xf numFmtId="14" fontId="4" fillId="0" borderId="4" xfId="0" applyNumberFormat="1" applyFont="1" applyBorder="1" applyAlignment="1">
      <alignment horizontal="left" vertical="center" wrapText="1"/>
    </xf>
    <xf numFmtId="14" fontId="4" fillId="0" borderId="2" xfId="0" applyNumberFormat="1" applyFont="1" applyBorder="1" applyAlignment="1" applyProtection="1">
      <alignment horizontal="left" vertical="center" wrapText="1"/>
      <protection locked="0"/>
    </xf>
    <xf numFmtId="14" fontId="4" fillId="0" borderId="3" xfId="0" applyNumberFormat="1" applyFont="1" applyBorder="1" applyAlignment="1" applyProtection="1">
      <alignment horizontal="left" vertical="center" wrapText="1"/>
      <protection locked="0"/>
    </xf>
    <xf numFmtId="14" fontId="4" fillId="0" borderId="4" xfId="0" applyNumberFormat="1" applyFont="1" applyBorder="1" applyAlignment="1" applyProtection="1">
      <alignment horizontal="left" vertical="center" wrapText="1"/>
      <protection locked="0"/>
    </xf>
    <xf numFmtId="0" fontId="4" fillId="0" borderId="3" xfId="0" applyFont="1" applyBorder="1" applyAlignment="1">
      <alignment horizontal="left" vertical="center"/>
    </xf>
    <xf numFmtId="0" fontId="4" fillId="0" borderId="4" xfId="0" applyFont="1" applyBorder="1" applyAlignment="1">
      <alignment horizontal="left" vertical="center"/>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46" fillId="0" borderId="5" xfId="0" applyFont="1" applyBorder="1" applyAlignment="1">
      <alignment horizontal="left" vertical="top" wrapText="1"/>
    </xf>
    <xf numFmtId="0" fontId="46" fillId="0" borderId="6" xfId="0" applyFont="1" applyBorder="1" applyAlignment="1">
      <alignment horizontal="left" vertical="top" wrapText="1"/>
    </xf>
    <xf numFmtId="0" fontId="46" fillId="0" borderId="7" xfId="0" applyFont="1" applyBorder="1" applyAlignment="1">
      <alignment horizontal="left" vertical="top" wrapText="1"/>
    </xf>
    <xf numFmtId="0" fontId="65" fillId="0" borderId="16" xfId="0" applyFont="1" applyBorder="1" applyAlignment="1">
      <alignment horizontal="left"/>
    </xf>
    <xf numFmtId="0" fontId="65" fillId="0" borderId="17" xfId="0" applyFont="1" applyBorder="1" applyAlignment="1">
      <alignment horizontal="left"/>
    </xf>
    <xf numFmtId="0" fontId="65" fillId="0" borderId="18" xfId="0" applyFont="1" applyBorder="1" applyAlignment="1">
      <alignment horizontal="left"/>
    </xf>
    <xf numFmtId="0" fontId="47" fillId="34" borderId="2" xfId="0" applyFont="1" applyFill="1" applyBorder="1" applyAlignment="1">
      <alignment horizontal="center" vertical="center" wrapText="1"/>
    </xf>
    <xf numFmtId="0" fontId="47" fillId="34" borderId="3" xfId="0" applyFont="1" applyFill="1" applyBorder="1" applyAlignment="1">
      <alignment horizontal="center" vertical="center" wrapText="1"/>
    </xf>
    <xf numFmtId="0" fontId="47" fillId="34" borderId="4" xfId="0" applyFont="1" applyFill="1" applyBorder="1" applyAlignment="1">
      <alignment horizontal="center" vertical="center" wrapText="1"/>
    </xf>
    <xf numFmtId="0" fontId="47" fillId="36" borderId="2" xfId="0" applyFont="1" applyFill="1" applyBorder="1" applyAlignment="1">
      <alignment horizontal="center" vertical="center" wrapText="1"/>
    </xf>
    <xf numFmtId="0" fontId="47" fillId="36" borderId="3" xfId="0" applyFont="1" applyFill="1" applyBorder="1" applyAlignment="1">
      <alignment horizontal="center" vertical="center" wrapText="1"/>
    </xf>
    <xf numFmtId="0" fontId="47" fillId="36" borderId="4" xfId="0" applyFont="1" applyFill="1" applyBorder="1" applyAlignment="1">
      <alignment horizontal="center" vertical="center" wrapText="1"/>
    </xf>
    <xf numFmtId="166" fontId="40" fillId="36" borderId="2" xfId="0" applyNumberFormat="1" applyFont="1" applyFill="1" applyBorder="1" applyAlignment="1" applyProtection="1">
      <alignment horizontal="center" vertical="center" wrapText="1"/>
      <protection locked="0"/>
    </xf>
    <xf numFmtId="166" fontId="40" fillId="36" borderId="3" xfId="0" applyNumberFormat="1" applyFont="1" applyFill="1" applyBorder="1" applyAlignment="1" applyProtection="1">
      <alignment horizontal="center" vertical="center" wrapText="1"/>
      <protection locked="0"/>
    </xf>
    <xf numFmtId="166" fontId="40" fillId="36" borderId="4" xfId="0" applyNumberFormat="1" applyFont="1" applyFill="1" applyBorder="1" applyAlignment="1" applyProtection="1">
      <alignment horizontal="center" vertical="center" wrapText="1"/>
      <protection locked="0"/>
    </xf>
    <xf numFmtId="0" fontId="46" fillId="0" borderId="2" xfId="0" applyFont="1" applyBorder="1" applyAlignment="1">
      <alignment horizontal="center" vertical="center" wrapText="1"/>
    </xf>
    <xf numFmtId="0" fontId="46" fillId="0" borderId="4" xfId="0" applyFont="1" applyBorder="1" applyAlignment="1">
      <alignment horizontal="center" vertical="center" wrapText="1"/>
    </xf>
    <xf numFmtId="0" fontId="46" fillId="36" borderId="2" xfId="0" applyFont="1" applyFill="1" applyBorder="1" applyAlignment="1" applyProtection="1">
      <alignment horizontal="center" vertical="center" wrapText="1"/>
      <protection locked="0"/>
    </xf>
    <xf numFmtId="0" fontId="46" fillId="36" borderId="3" xfId="0" applyFont="1" applyFill="1" applyBorder="1" applyAlignment="1" applyProtection="1">
      <alignment horizontal="center" vertical="center" wrapText="1"/>
      <protection locked="0"/>
    </xf>
    <xf numFmtId="0" fontId="46" fillId="36" borderId="4" xfId="0" applyFont="1" applyFill="1" applyBorder="1" applyAlignment="1" applyProtection="1">
      <alignment horizontal="center" vertical="center" wrapText="1"/>
      <protection locked="0"/>
    </xf>
    <xf numFmtId="0" fontId="47" fillId="37" borderId="2" xfId="0" applyFont="1" applyFill="1" applyBorder="1" applyAlignment="1">
      <alignment horizontal="center" vertical="center" wrapText="1"/>
    </xf>
    <xf numFmtId="0" fontId="47" fillId="37" borderId="3" xfId="0" applyFont="1" applyFill="1" applyBorder="1" applyAlignment="1">
      <alignment horizontal="center" vertical="center" wrapText="1"/>
    </xf>
    <xf numFmtId="0" fontId="47" fillId="37" borderId="4" xfId="0" applyFont="1" applyFill="1" applyBorder="1" applyAlignment="1">
      <alignment horizontal="center" vertical="center" wrapText="1"/>
    </xf>
    <xf numFmtId="166" fontId="46" fillId="37" borderId="2" xfId="0" applyNumberFormat="1" applyFont="1" applyFill="1" applyBorder="1" applyAlignment="1" applyProtection="1">
      <alignment horizontal="center" vertical="center" wrapText="1"/>
      <protection locked="0"/>
    </xf>
    <xf numFmtId="0" fontId="0" fillId="37" borderId="3" xfId="0" applyFill="1" applyBorder="1"/>
    <xf numFmtId="0" fontId="0" fillId="37" borderId="4" xfId="0" applyFill="1" applyBorder="1"/>
    <xf numFmtId="0" fontId="46" fillId="0" borderId="2"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 xfId="0" applyFont="1" applyBorder="1" applyAlignment="1">
      <alignment wrapText="1"/>
    </xf>
    <xf numFmtId="0" fontId="46" fillId="0" borderId="3" xfId="0" applyFont="1" applyBorder="1" applyAlignment="1">
      <alignment wrapText="1"/>
    </xf>
    <xf numFmtId="166" fontId="46" fillId="34" borderId="3" xfId="0" applyNumberFormat="1" applyFont="1" applyFill="1" applyBorder="1" applyAlignment="1" applyProtection="1">
      <alignment wrapText="1"/>
      <protection locked="0"/>
    </xf>
    <xf numFmtId="166" fontId="46" fillId="34" borderId="4" xfId="0" applyNumberFormat="1" applyFont="1" applyFill="1" applyBorder="1" applyAlignment="1" applyProtection="1">
      <alignment wrapText="1"/>
      <protection locked="0"/>
    </xf>
    <xf numFmtId="0" fontId="46" fillId="0" borderId="4" xfId="0" applyFont="1" applyBorder="1" applyAlignment="1">
      <alignment wrapText="1"/>
    </xf>
    <xf numFmtId="0" fontId="47" fillId="34" borderId="2" xfId="0" applyFont="1" applyFill="1" applyBorder="1" applyAlignment="1" applyProtection="1">
      <alignment horizontal="center" vertical="center" wrapText="1"/>
      <protection locked="0"/>
    </xf>
    <xf numFmtId="0" fontId="47" fillId="34" borderId="4" xfId="0" applyFont="1" applyFill="1" applyBorder="1" applyAlignment="1" applyProtection="1">
      <alignment horizontal="center" vertical="center" wrapText="1"/>
      <protection locked="0"/>
    </xf>
    <xf numFmtId="0" fontId="46" fillId="24" borderId="5" xfId="0" applyFont="1" applyFill="1" applyBorder="1" applyAlignment="1">
      <alignment horizontal="center" vertical="center" wrapText="1"/>
    </xf>
    <xf numFmtId="0" fontId="46" fillId="24" borderId="6" xfId="0" applyFont="1" applyFill="1" applyBorder="1" applyAlignment="1">
      <alignment horizontal="center" vertical="center" wrapText="1"/>
    </xf>
    <xf numFmtId="0" fontId="46" fillId="24" borderId="7" xfId="0" applyFont="1" applyFill="1" applyBorder="1" applyAlignment="1">
      <alignment horizontal="center" vertical="center" wrapText="1"/>
    </xf>
    <xf numFmtId="0" fontId="46" fillId="24" borderId="8" xfId="0" applyFont="1" applyFill="1" applyBorder="1" applyAlignment="1">
      <alignment horizontal="center" vertical="center" wrapText="1"/>
    </xf>
    <xf numFmtId="0" fontId="46" fillId="24" borderId="0" xfId="0" applyFont="1" applyFill="1" applyAlignment="1">
      <alignment horizontal="center" vertical="center" wrapText="1"/>
    </xf>
    <xf numFmtId="0" fontId="46" fillId="24" borderId="9" xfId="0" applyFont="1" applyFill="1" applyBorder="1" applyAlignment="1">
      <alignment horizontal="center" vertical="center" wrapText="1"/>
    </xf>
    <xf numFmtId="0" fontId="46" fillId="24" borderId="5" xfId="0" applyFont="1" applyFill="1" applyBorder="1" applyAlignment="1">
      <alignment horizontal="center" wrapText="1"/>
    </xf>
    <xf numFmtId="0" fontId="46" fillId="24" borderId="6" xfId="0" applyFont="1" applyFill="1" applyBorder="1" applyAlignment="1">
      <alignment horizontal="center" wrapText="1"/>
    </xf>
    <xf numFmtId="0" fontId="46" fillId="24" borderId="7" xfId="0" applyFont="1" applyFill="1" applyBorder="1" applyAlignment="1">
      <alignment horizontal="center" wrapText="1"/>
    </xf>
    <xf numFmtId="0" fontId="46" fillId="24" borderId="8" xfId="0" applyFont="1" applyFill="1" applyBorder="1" applyAlignment="1">
      <alignment horizontal="center" wrapText="1"/>
    </xf>
    <xf numFmtId="0" fontId="46" fillId="24" borderId="0" xfId="0" applyFont="1" applyFill="1" applyAlignment="1">
      <alignment horizontal="center" wrapText="1"/>
    </xf>
    <xf numFmtId="0" fontId="46" fillId="24" borderId="9" xfId="0" applyFont="1" applyFill="1" applyBorder="1" applyAlignment="1">
      <alignment horizontal="center" wrapText="1"/>
    </xf>
    <xf numFmtId="0" fontId="46" fillId="24" borderId="10" xfId="0" applyFont="1" applyFill="1" applyBorder="1" applyAlignment="1">
      <alignment horizontal="center" wrapText="1"/>
    </xf>
    <xf numFmtId="0" fontId="46" fillId="24" borderId="11" xfId="0" applyFont="1" applyFill="1" applyBorder="1" applyAlignment="1">
      <alignment horizontal="center" wrapText="1"/>
    </xf>
    <xf numFmtId="0" fontId="46" fillId="24" borderId="12" xfId="0" applyFont="1" applyFill="1" applyBorder="1" applyAlignment="1">
      <alignment horizontal="center" wrapText="1"/>
    </xf>
    <xf numFmtId="0" fontId="46" fillId="24" borderId="2" xfId="0" applyFont="1" applyFill="1" applyBorder="1" applyAlignment="1">
      <alignment horizontal="center" vertical="center" wrapText="1"/>
    </xf>
    <xf numFmtId="0" fontId="46" fillId="24" borderId="3" xfId="0" applyFont="1" applyFill="1" applyBorder="1" applyAlignment="1">
      <alignment horizontal="center" vertical="center" wrapText="1"/>
    </xf>
    <xf numFmtId="0" fontId="46" fillId="24" borderId="4" xfId="0" applyFont="1" applyFill="1" applyBorder="1" applyAlignment="1">
      <alignment horizontal="center" vertical="center" wrapText="1"/>
    </xf>
    <xf numFmtId="0" fontId="46" fillId="22" borderId="1" xfId="0" applyFont="1" applyFill="1" applyBorder="1" applyAlignment="1">
      <alignment horizontal="center" vertical="center" wrapText="1"/>
    </xf>
    <xf numFmtId="0" fontId="46" fillId="22" borderId="2" xfId="0" applyFont="1" applyFill="1" applyBorder="1" applyAlignment="1">
      <alignment horizontal="center" vertical="center" wrapText="1"/>
    </xf>
    <xf numFmtId="0" fontId="46" fillId="22" borderId="3" xfId="0" applyFont="1" applyFill="1" applyBorder="1" applyAlignment="1">
      <alignment horizontal="center" vertical="center" wrapText="1"/>
    </xf>
    <xf numFmtId="0" fontId="46" fillId="22" borderId="4" xfId="0" applyFont="1" applyFill="1" applyBorder="1" applyAlignment="1">
      <alignment horizontal="center" vertical="center" wrapText="1"/>
    </xf>
    <xf numFmtId="0" fontId="62" fillId="8" borderId="2" xfId="0" applyFont="1" applyFill="1" applyBorder="1" applyAlignment="1">
      <alignment horizontal="center" vertical="center"/>
    </xf>
    <xf numFmtId="0" fontId="62" fillId="8" borderId="3" xfId="0" applyFont="1" applyFill="1" applyBorder="1" applyAlignment="1">
      <alignment horizontal="center" vertical="center"/>
    </xf>
    <xf numFmtId="0" fontId="62" fillId="8" borderId="4" xfId="0" applyFont="1" applyFill="1" applyBorder="1" applyAlignment="1">
      <alignment horizontal="center" vertical="center"/>
    </xf>
    <xf numFmtId="0" fontId="62" fillId="35" borderId="1" xfId="0" applyFont="1" applyFill="1" applyBorder="1" applyAlignment="1">
      <alignment horizontal="center" vertical="center"/>
    </xf>
    <xf numFmtId="0" fontId="62" fillId="35" borderId="2" xfId="0" applyFont="1" applyFill="1" applyBorder="1" applyAlignment="1">
      <alignment horizontal="center" vertical="center"/>
    </xf>
    <xf numFmtId="0" fontId="62" fillId="35" borderId="3" xfId="0" applyFont="1" applyFill="1" applyBorder="1" applyAlignment="1">
      <alignment horizontal="center" vertical="center"/>
    </xf>
    <xf numFmtId="0" fontId="62" fillId="35" borderId="4" xfId="0" applyFont="1" applyFill="1" applyBorder="1" applyAlignment="1">
      <alignment horizontal="center" vertical="center"/>
    </xf>
    <xf numFmtId="0" fontId="22" fillId="9"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4" fillId="6" borderId="1" xfId="0" applyFont="1" applyFill="1" applyBorder="1" applyAlignment="1" applyProtection="1">
      <alignment horizontal="center" vertical="top" wrapText="1"/>
      <protection locked="0"/>
    </xf>
    <xf numFmtId="0" fontId="24" fillId="6" borderId="1" xfId="0" applyFont="1" applyFill="1" applyBorder="1" applyAlignment="1" applyProtection="1">
      <alignment horizontal="left" vertical="center" wrapText="1"/>
      <protection locked="0"/>
    </xf>
    <xf numFmtId="0" fontId="25" fillId="0" borderId="1" xfId="0" applyFont="1" applyBorder="1" applyAlignment="1">
      <alignment horizontal="center" vertical="center" wrapText="1"/>
    </xf>
    <xf numFmtId="0" fontId="7" fillId="6" borderId="1" xfId="1" applyFill="1" applyBorder="1" applyAlignment="1" applyProtection="1">
      <alignment horizontal="left" vertical="center" wrapText="1"/>
      <protection locked="0"/>
    </xf>
    <xf numFmtId="0" fontId="24" fillId="6" borderId="2" xfId="0" applyFont="1" applyFill="1" applyBorder="1" applyAlignment="1" applyProtection="1">
      <alignment horizontal="left" vertical="center"/>
      <protection locked="0"/>
    </xf>
    <xf numFmtId="0" fontId="24" fillId="6" borderId="3" xfId="0" applyFont="1" applyFill="1" applyBorder="1" applyAlignment="1" applyProtection="1">
      <alignment horizontal="left" vertical="center"/>
      <protection locked="0"/>
    </xf>
    <xf numFmtId="0" fontId="24" fillId="6" borderId="4" xfId="0" applyFont="1" applyFill="1" applyBorder="1" applyAlignment="1" applyProtection="1">
      <alignment horizontal="left" vertical="center"/>
      <protection locked="0"/>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4" xfId="0" applyFont="1" applyBorder="1" applyAlignment="1">
      <alignment horizontal="center" vertical="center" wrapText="1"/>
    </xf>
    <xf numFmtId="0" fontId="24" fillId="6" borderId="2" xfId="0" applyFont="1" applyFill="1" applyBorder="1" applyAlignment="1" applyProtection="1">
      <alignment horizontal="center" vertical="center" wrapText="1"/>
      <protection locked="0"/>
    </xf>
    <xf numFmtId="0" fontId="24" fillId="6" borderId="3" xfId="0" applyFont="1" applyFill="1" applyBorder="1" applyAlignment="1" applyProtection="1">
      <alignment horizontal="center" vertical="center" wrapText="1"/>
      <protection locked="0"/>
    </xf>
    <xf numFmtId="0" fontId="24" fillId="6" borderId="4" xfId="0" applyFont="1" applyFill="1" applyBorder="1" applyAlignment="1" applyProtection="1">
      <alignment horizontal="center" vertical="center" wrapText="1"/>
      <protection locked="0"/>
    </xf>
    <xf numFmtId="0" fontId="24" fillId="6" borderId="5"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6" fillId="6" borderId="5" xfId="0" applyFont="1" applyFill="1" applyBorder="1" applyAlignment="1">
      <alignment horizontal="center" vertical="center" wrapText="1"/>
    </xf>
    <xf numFmtId="0" fontId="26" fillId="6" borderId="7"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24" fillId="0" borderId="10" xfId="0" applyFont="1" applyBorder="1" applyAlignment="1">
      <alignment horizontal="center" vertical="center" wrapText="1"/>
    </xf>
    <xf numFmtId="0" fontId="24" fillId="0" borderId="12" xfId="0" applyFont="1" applyBorder="1" applyAlignment="1">
      <alignment horizontal="center" vertical="center" wrapText="1"/>
    </xf>
    <xf numFmtId="0" fontId="27" fillId="6" borderId="5" xfId="0" applyFont="1" applyFill="1" applyBorder="1" applyAlignment="1">
      <alignment horizontal="center" vertical="center" wrapText="1"/>
    </xf>
    <xf numFmtId="0" fontId="27" fillId="6" borderId="7"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5" fillId="6" borderId="2" xfId="0" applyFont="1" applyFill="1" applyBorder="1" applyAlignment="1" applyProtection="1">
      <alignment horizontal="center" vertical="center" wrapText="1"/>
      <protection locked="0"/>
    </xf>
    <xf numFmtId="0" fontId="25" fillId="6" borderId="3" xfId="0" applyFont="1" applyFill="1" applyBorder="1" applyAlignment="1" applyProtection="1">
      <alignment horizontal="center" vertical="center" wrapText="1"/>
      <protection locked="0"/>
    </xf>
    <xf numFmtId="0" fontId="25" fillId="6" borderId="4" xfId="0" applyFont="1" applyFill="1" applyBorder="1" applyAlignment="1" applyProtection="1">
      <alignment horizontal="center" vertical="center" wrapText="1"/>
      <protection locked="0"/>
    </xf>
    <xf numFmtId="0" fontId="25" fillId="2" borderId="2"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25" fillId="2" borderId="2" xfId="0" applyFont="1" applyFill="1" applyBorder="1" applyAlignment="1" applyProtection="1">
      <alignment horizontal="center" vertical="center" wrapText="1"/>
      <protection locked="0"/>
    </xf>
    <xf numFmtId="0" fontId="25" fillId="2" borderId="4" xfId="0" applyFont="1" applyFill="1" applyBorder="1" applyAlignment="1" applyProtection="1">
      <alignment horizontal="center" vertical="center" wrapText="1"/>
      <protection locked="0"/>
    </xf>
    <xf numFmtId="0" fontId="25" fillId="6" borderId="2" xfId="0"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6" borderId="4"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23" fillId="9" borderId="3" xfId="0" applyFont="1" applyFill="1" applyBorder="1" applyAlignment="1">
      <alignment horizontal="center" vertical="center" wrapText="1"/>
    </xf>
    <xf numFmtId="0" fontId="23" fillId="9" borderId="4" xfId="0" applyFont="1" applyFill="1" applyBorder="1" applyAlignment="1">
      <alignment horizontal="center"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9" fillId="24" borderId="2" xfId="0" applyFont="1" applyFill="1" applyBorder="1" applyAlignment="1">
      <alignment horizontal="center" vertical="center" wrapText="1"/>
    </xf>
    <xf numFmtId="0" fontId="9" fillId="24" borderId="3" xfId="0" applyFont="1" applyFill="1" applyBorder="1" applyAlignment="1">
      <alignment horizontal="center" vertical="center" wrapText="1"/>
    </xf>
    <xf numFmtId="0" fontId="9" fillId="24" borderId="4" xfId="0" applyFont="1" applyFill="1" applyBorder="1" applyAlignment="1">
      <alignment horizontal="center" vertical="center" wrapText="1"/>
    </xf>
    <xf numFmtId="0" fontId="10" fillId="24" borderId="3" xfId="0" applyFont="1" applyFill="1" applyBorder="1" applyAlignment="1" applyProtection="1">
      <alignment horizontal="center" vertical="center" wrapText="1"/>
      <protection locked="0"/>
    </xf>
    <xf numFmtId="0" fontId="10" fillId="24" borderId="4" xfId="0" applyFont="1" applyFill="1" applyBorder="1" applyAlignment="1" applyProtection="1">
      <alignment horizontal="center" vertical="center" wrapText="1"/>
      <protection locked="0"/>
    </xf>
    <xf numFmtId="166" fontId="10" fillId="25" borderId="2" xfId="0" applyNumberFormat="1" applyFont="1" applyFill="1" applyBorder="1" applyAlignment="1" applyProtection="1">
      <alignment horizontal="center" vertical="center" wrapText="1"/>
      <protection locked="0"/>
    </xf>
    <xf numFmtId="166" fontId="10" fillId="25" borderId="3" xfId="0" applyNumberFormat="1" applyFont="1" applyFill="1" applyBorder="1" applyAlignment="1" applyProtection="1">
      <alignment horizontal="center" vertical="center" wrapText="1"/>
      <protection locked="0"/>
    </xf>
    <xf numFmtId="166" fontId="10" fillId="25" borderId="4" xfId="0" applyNumberFormat="1" applyFont="1" applyFill="1" applyBorder="1" applyAlignment="1" applyProtection="1">
      <alignment horizontal="center" vertical="center" wrapText="1"/>
      <protection locked="0"/>
    </xf>
    <xf numFmtId="166" fontId="10" fillId="24" borderId="2" xfId="0" applyNumberFormat="1" applyFont="1" applyFill="1" applyBorder="1" applyAlignment="1" applyProtection="1">
      <alignment horizontal="center" vertical="center" wrapText="1"/>
      <protection locked="0"/>
    </xf>
    <xf numFmtId="166" fontId="10" fillId="24" borderId="3" xfId="0" applyNumberFormat="1" applyFont="1" applyFill="1" applyBorder="1" applyAlignment="1" applyProtection="1">
      <alignment horizontal="center" vertical="center" wrapText="1"/>
      <protection locked="0"/>
    </xf>
    <xf numFmtId="166" fontId="10" fillId="24" borderId="4" xfId="0" applyNumberFormat="1" applyFont="1" applyFill="1" applyBorder="1" applyAlignment="1" applyProtection="1">
      <alignment horizontal="center" vertical="center" wrapText="1"/>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166" fontId="24" fillId="6" borderId="2" xfId="0" applyNumberFormat="1" applyFont="1" applyFill="1" applyBorder="1" applyAlignment="1" applyProtection="1">
      <alignment horizontal="center" vertical="center" wrapText="1"/>
      <protection locked="0"/>
    </xf>
    <xf numFmtId="166" fontId="24" fillId="6" borderId="3" xfId="0" applyNumberFormat="1" applyFont="1" applyFill="1" applyBorder="1" applyAlignment="1" applyProtection="1">
      <alignment horizontal="center" vertical="center" wrapText="1"/>
      <protection locked="0"/>
    </xf>
    <xf numFmtId="166" fontId="24" fillId="6" borderId="4" xfId="0" applyNumberFormat="1" applyFont="1" applyFill="1" applyBorder="1" applyAlignment="1" applyProtection="1">
      <alignment horizontal="center" vertical="center" wrapText="1"/>
      <protection locked="0"/>
    </xf>
    <xf numFmtId="166" fontId="0" fillId="6" borderId="2" xfId="0" applyNumberFormat="1" applyFill="1" applyBorder="1" applyAlignment="1" applyProtection="1">
      <alignment horizontal="center"/>
      <protection locked="0"/>
    </xf>
    <xf numFmtId="166" fontId="0" fillId="6" borderId="3" xfId="0" applyNumberFormat="1" applyFill="1" applyBorder="1" applyAlignment="1" applyProtection="1">
      <alignment horizontal="center"/>
      <protection locked="0"/>
    </xf>
    <xf numFmtId="166" fontId="0" fillId="6" borderId="4" xfId="0" applyNumberFormat="1" applyFill="1" applyBorder="1" applyAlignment="1" applyProtection="1">
      <alignment horizontal="center"/>
      <protection locked="0"/>
    </xf>
    <xf numFmtId="0" fontId="45" fillId="29" borderId="2" xfId="0" applyFont="1" applyFill="1" applyBorder="1" applyAlignment="1">
      <alignment horizontal="center" vertical="center" wrapText="1"/>
    </xf>
    <xf numFmtId="0" fontId="45" fillId="29" borderId="3" xfId="0" applyFont="1" applyFill="1" applyBorder="1" applyAlignment="1">
      <alignment horizontal="center" vertical="center" wrapText="1"/>
    </xf>
    <xf numFmtId="0" fontId="45" fillId="29" borderId="4" xfId="0" applyFont="1" applyFill="1" applyBorder="1" applyAlignment="1">
      <alignment horizontal="center" vertical="center" wrapText="1"/>
    </xf>
    <xf numFmtId="0" fontId="46" fillId="2" borderId="2" xfId="0" applyFont="1" applyFill="1" applyBorder="1" applyAlignment="1" applyProtection="1">
      <alignment horizontal="left" vertical="top" wrapText="1"/>
      <protection locked="0"/>
    </xf>
    <xf numFmtId="0" fontId="46" fillId="2" borderId="3" xfId="0" applyFont="1" applyFill="1" applyBorder="1" applyAlignment="1" applyProtection="1">
      <alignment horizontal="left" vertical="top" wrapText="1"/>
      <protection locked="0"/>
    </xf>
    <xf numFmtId="0" fontId="46" fillId="2" borderId="4" xfId="0" applyFont="1" applyFill="1" applyBorder="1" applyAlignment="1" applyProtection="1">
      <alignment horizontal="left" vertical="top" wrapText="1"/>
      <protection locked="0"/>
    </xf>
    <xf numFmtId="0" fontId="46" fillId="2" borderId="1" xfId="0" applyFont="1" applyFill="1" applyBorder="1" applyAlignment="1" applyProtection="1">
      <alignment horizontal="left" vertical="top" wrapText="1"/>
      <protection locked="0"/>
    </xf>
    <xf numFmtId="0" fontId="24" fillId="2" borderId="2" xfId="0" applyFont="1" applyFill="1" applyBorder="1" applyAlignment="1" applyProtection="1">
      <alignment horizontal="center" vertical="top" wrapText="1"/>
      <protection locked="0"/>
    </xf>
    <xf numFmtId="0" fontId="24" fillId="2" borderId="3" xfId="0" applyFont="1" applyFill="1" applyBorder="1" applyAlignment="1" applyProtection="1">
      <alignment horizontal="center" vertical="top" wrapText="1"/>
      <protection locked="0"/>
    </xf>
    <xf numFmtId="0" fontId="24" fillId="2" borderId="4" xfId="0" applyFont="1" applyFill="1" applyBorder="1" applyAlignment="1" applyProtection="1">
      <alignment horizontal="center" vertical="top" wrapText="1"/>
      <protection locked="0"/>
    </xf>
    <xf numFmtId="0" fontId="47" fillId="9" borderId="2" xfId="0" applyFont="1" applyFill="1" applyBorder="1" applyAlignment="1">
      <alignment horizontal="center" vertical="center" wrapText="1"/>
    </xf>
    <xf numFmtId="0" fontId="47" fillId="9" borderId="3" xfId="0" applyFont="1" applyFill="1" applyBorder="1" applyAlignment="1">
      <alignment horizontal="center" vertical="center" wrapText="1"/>
    </xf>
    <xf numFmtId="0" fontId="47" fillId="9" borderId="4" xfId="0" applyFont="1" applyFill="1" applyBorder="1" applyAlignment="1">
      <alignment horizontal="center" vertical="center" wrapText="1"/>
    </xf>
    <xf numFmtId="0" fontId="45" fillId="31" borderId="2" xfId="0" applyFont="1" applyFill="1" applyBorder="1" applyAlignment="1">
      <alignment horizontal="center" vertical="center" wrapText="1"/>
    </xf>
    <xf numFmtId="0" fontId="47" fillId="31" borderId="3" xfId="0" applyFont="1" applyFill="1" applyBorder="1" applyAlignment="1">
      <alignment horizontal="center" vertical="center" wrapText="1"/>
    </xf>
    <xf numFmtId="0" fontId="47" fillId="31" borderId="4" xfId="0" applyFont="1" applyFill="1" applyBorder="1" applyAlignment="1">
      <alignment horizontal="center" vertical="center" wrapText="1"/>
    </xf>
    <xf numFmtId="0" fontId="49" fillId="0" borderId="2" xfId="0" applyFont="1" applyBorder="1" applyAlignment="1">
      <alignment horizontal="center" vertical="center" wrapText="1"/>
    </xf>
    <xf numFmtId="0" fontId="49" fillId="0" borderId="3" xfId="0" applyFont="1" applyBorder="1" applyAlignment="1">
      <alignment horizontal="center" vertical="center" wrapText="1"/>
    </xf>
    <xf numFmtId="0" fontId="49" fillId="0" borderId="4" xfId="0" applyFont="1" applyBorder="1" applyAlignment="1">
      <alignment horizontal="center" vertical="center" wrapText="1"/>
    </xf>
    <xf numFmtId="0" fontId="50" fillId="6" borderId="2" xfId="0" applyFont="1" applyFill="1" applyBorder="1" applyAlignment="1" applyProtection="1">
      <alignment horizontal="center" vertical="center" wrapText="1"/>
      <protection locked="0"/>
    </xf>
    <xf numFmtId="0" fontId="50" fillId="6" borderId="4" xfId="0" applyFont="1" applyFill="1" applyBorder="1" applyAlignment="1" applyProtection="1">
      <alignment horizontal="center" vertical="center" wrapText="1"/>
      <protection locked="0"/>
    </xf>
    <xf numFmtId="0" fontId="51" fillId="0" borderId="2" xfId="0" applyFont="1" applyBorder="1" applyAlignment="1">
      <alignment horizontal="center" vertical="center" wrapText="1"/>
    </xf>
    <xf numFmtId="0" fontId="51" fillId="0" borderId="3" xfId="0" applyFont="1" applyBorder="1" applyAlignment="1">
      <alignment horizontal="center" vertical="center" wrapText="1"/>
    </xf>
    <xf numFmtId="0" fontId="51" fillId="0" borderId="4" xfId="0" applyFont="1" applyBorder="1" applyAlignment="1">
      <alignment horizontal="center" vertical="center" wrapText="1"/>
    </xf>
    <xf numFmtId="0" fontId="45" fillId="32" borderId="2" xfId="0" applyFont="1" applyFill="1" applyBorder="1" applyAlignment="1">
      <alignment horizontal="center" vertical="center" wrapText="1"/>
    </xf>
    <xf numFmtId="0" fontId="45" fillId="32" borderId="3" xfId="0" applyFont="1" applyFill="1" applyBorder="1" applyAlignment="1">
      <alignment horizontal="center" vertical="center" wrapText="1"/>
    </xf>
    <xf numFmtId="0" fontId="45" fillId="32" borderId="4" xfId="0" applyFont="1" applyFill="1" applyBorder="1" applyAlignment="1">
      <alignment horizontal="center" vertical="center" wrapText="1"/>
    </xf>
    <xf numFmtId="0" fontId="46" fillId="32" borderId="3" xfId="0" applyFont="1" applyFill="1" applyBorder="1" applyAlignment="1" applyProtection="1">
      <alignment horizontal="center" vertical="center" wrapText="1"/>
      <protection locked="0"/>
    </xf>
    <xf numFmtId="0" fontId="46" fillId="32" borderId="4" xfId="0" applyFont="1" applyFill="1" applyBorder="1" applyAlignment="1" applyProtection="1">
      <alignment horizontal="center" vertical="center" wrapText="1"/>
      <protection locked="0"/>
    </xf>
    <xf numFmtId="0" fontId="46" fillId="0" borderId="3" xfId="0" applyFont="1" applyBorder="1" applyAlignment="1">
      <alignment horizontal="center" vertical="center" wrapText="1"/>
    </xf>
    <xf numFmtId="0" fontId="46" fillId="32" borderId="1" xfId="0" applyFont="1" applyFill="1" applyBorder="1" applyAlignment="1" applyProtection="1">
      <alignment horizontal="center" vertical="center" wrapText="1"/>
      <protection locked="0"/>
    </xf>
    <xf numFmtId="0" fontId="46" fillId="32" borderId="2" xfId="0" applyFont="1" applyFill="1" applyBorder="1" applyAlignment="1" applyProtection="1">
      <alignment horizontal="center" vertical="center" wrapText="1"/>
      <protection locked="0"/>
    </xf>
    <xf numFmtId="0" fontId="46" fillId="6" borderId="2" xfId="0" applyFont="1" applyFill="1" applyBorder="1" applyAlignment="1">
      <alignment horizontal="center" vertical="center" wrapText="1"/>
    </xf>
    <xf numFmtId="0" fontId="46" fillId="6" borderId="3" xfId="0" applyFont="1" applyFill="1" applyBorder="1" applyAlignment="1">
      <alignment horizontal="center" vertical="center" wrapText="1"/>
    </xf>
    <xf numFmtId="0" fontId="46" fillId="6" borderId="4" xfId="0" applyFont="1" applyFill="1" applyBorder="1" applyAlignment="1">
      <alignment horizontal="center" vertical="center" wrapText="1"/>
    </xf>
    <xf numFmtId="0" fontId="46" fillId="2" borderId="2" xfId="0" applyFont="1" applyFill="1" applyBorder="1" applyAlignment="1">
      <alignment horizontal="center" vertical="center" wrapText="1"/>
    </xf>
    <xf numFmtId="0" fontId="46" fillId="2" borderId="3" xfId="0" applyFont="1" applyFill="1" applyBorder="1" applyAlignment="1">
      <alignment horizontal="center" vertical="center" wrapText="1"/>
    </xf>
    <xf numFmtId="0" fontId="46" fillId="2" borderId="4" xfId="0" applyFont="1" applyFill="1" applyBorder="1" applyAlignment="1">
      <alignment horizontal="center" vertical="center" wrapText="1"/>
    </xf>
    <xf numFmtId="0" fontId="55" fillId="32" borderId="2" xfId="0" applyFont="1" applyFill="1" applyBorder="1" applyAlignment="1" applyProtection="1">
      <alignment horizontal="center" vertical="top" wrapText="1"/>
      <protection locked="0"/>
    </xf>
    <xf numFmtId="0" fontId="55" fillId="32" borderId="3" xfId="0" applyFont="1" applyFill="1" applyBorder="1" applyAlignment="1" applyProtection="1">
      <alignment horizontal="center" vertical="top" wrapText="1"/>
      <protection locked="0"/>
    </xf>
    <xf numFmtId="0" fontId="55" fillId="32" borderId="4" xfId="0" applyFont="1" applyFill="1" applyBorder="1" applyAlignment="1" applyProtection="1">
      <alignment horizontal="center" vertical="top" wrapText="1"/>
      <protection locked="0"/>
    </xf>
    <xf numFmtId="0" fontId="55" fillId="32" borderId="1" xfId="0" applyFont="1" applyFill="1" applyBorder="1" applyAlignment="1" applyProtection="1">
      <alignment horizontal="center" vertical="top" wrapText="1"/>
      <protection locked="0"/>
    </xf>
    <xf numFmtId="0" fontId="45" fillId="33" borderId="2" xfId="0" applyFont="1" applyFill="1" applyBorder="1" applyAlignment="1">
      <alignment horizontal="center" vertical="center" wrapText="1"/>
    </xf>
    <xf numFmtId="0" fontId="47" fillId="33" borderId="3" xfId="0" applyFont="1" applyFill="1" applyBorder="1" applyAlignment="1">
      <alignment horizontal="center" vertical="center" wrapText="1"/>
    </xf>
    <xf numFmtId="0" fontId="47" fillId="33" borderId="4" xfId="0" applyFont="1" applyFill="1" applyBorder="1" applyAlignment="1">
      <alignment horizontal="center" vertical="center" wrapText="1"/>
    </xf>
    <xf numFmtId="0" fontId="46" fillId="33" borderId="2" xfId="0" applyFont="1" applyFill="1" applyBorder="1" applyAlignment="1">
      <alignment horizontal="left" vertical="center" wrapText="1"/>
    </xf>
    <xf numFmtId="0" fontId="46" fillId="33" borderId="3" xfId="0" applyFont="1" applyFill="1" applyBorder="1" applyAlignment="1">
      <alignment horizontal="left" vertical="center" wrapText="1"/>
    </xf>
    <xf numFmtId="0" fontId="46" fillId="33" borderId="4" xfId="0" applyFont="1" applyFill="1" applyBorder="1" applyAlignment="1">
      <alignment horizontal="left" vertical="center" wrapText="1"/>
    </xf>
    <xf numFmtId="0" fontId="46" fillId="2" borderId="2" xfId="0" applyFont="1" applyFill="1" applyBorder="1" applyAlignment="1" applyProtection="1">
      <alignment horizontal="left" vertical="center" wrapText="1"/>
      <protection locked="0"/>
    </xf>
    <xf numFmtId="0" fontId="46" fillId="2" borderId="3" xfId="0" applyFont="1" applyFill="1" applyBorder="1" applyAlignment="1" applyProtection="1">
      <alignment horizontal="left" vertical="center" wrapText="1"/>
      <protection locked="0"/>
    </xf>
    <xf numFmtId="0" fontId="46" fillId="2" borderId="4" xfId="0" applyFont="1" applyFill="1" applyBorder="1" applyAlignment="1" applyProtection="1">
      <alignment horizontal="left" vertical="center" wrapText="1"/>
      <protection locked="0"/>
    </xf>
    <xf numFmtId="0" fontId="46" fillId="2" borderId="2" xfId="0" applyFont="1" applyFill="1" applyBorder="1" applyAlignment="1" applyProtection="1">
      <alignment horizontal="center" vertical="center" wrapText="1"/>
      <protection locked="0"/>
    </xf>
    <xf numFmtId="0" fontId="46" fillId="2" borderId="3" xfId="0" applyFont="1" applyFill="1" applyBorder="1" applyAlignment="1" applyProtection="1">
      <alignment horizontal="center" vertical="center" wrapText="1"/>
      <protection locked="0"/>
    </xf>
    <xf numFmtId="0" fontId="46" fillId="2" borderId="4" xfId="0" applyFont="1" applyFill="1" applyBorder="1" applyAlignment="1" applyProtection="1">
      <alignment horizontal="center" vertical="center" wrapText="1"/>
      <protection locked="0"/>
    </xf>
    <xf numFmtId="0" fontId="56" fillId="2" borderId="2" xfId="0" applyFont="1" applyFill="1" applyBorder="1" applyAlignment="1" applyProtection="1">
      <alignment horizontal="center" vertical="center" wrapText="1"/>
      <protection locked="0"/>
    </xf>
    <xf numFmtId="0" fontId="56" fillId="2" borderId="3" xfId="0" applyFont="1" applyFill="1" applyBorder="1" applyAlignment="1" applyProtection="1">
      <alignment horizontal="center" vertical="center" wrapText="1"/>
      <protection locked="0"/>
    </xf>
    <xf numFmtId="0" fontId="56" fillId="2" borderId="4" xfId="0" applyFont="1" applyFill="1" applyBorder="1" applyAlignment="1" applyProtection="1">
      <alignment horizontal="center" vertical="center" wrapText="1"/>
      <protection locked="0"/>
    </xf>
    <xf numFmtId="0" fontId="46" fillId="33" borderId="1" xfId="0" applyFont="1" applyFill="1" applyBorder="1" applyAlignment="1">
      <alignment horizontal="left" vertical="center" wrapText="1"/>
    </xf>
    <xf numFmtId="0" fontId="45" fillId="34" borderId="2" xfId="0" applyFont="1" applyFill="1" applyBorder="1" applyAlignment="1">
      <alignment horizontal="center" vertical="center" wrapText="1"/>
    </xf>
    <xf numFmtId="0" fontId="58" fillId="34" borderId="3" xfId="0" applyFont="1" applyFill="1" applyBorder="1" applyAlignment="1">
      <alignment horizontal="center" vertical="center" wrapText="1"/>
    </xf>
    <xf numFmtId="0" fontId="58" fillId="34" borderId="4" xfId="0" applyFont="1" applyFill="1" applyBorder="1" applyAlignment="1">
      <alignment horizontal="center" vertical="center" wrapText="1"/>
    </xf>
    <xf numFmtId="0" fontId="47" fillId="2" borderId="2" xfId="0" applyFont="1" applyFill="1" applyBorder="1" applyAlignment="1">
      <alignment horizontal="center" vertical="center" wrapText="1"/>
    </xf>
    <xf numFmtId="0" fontId="47" fillId="2" borderId="3" xfId="0" applyFont="1" applyFill="1" applyBorder="1" applyAlignment="1">
      <alignment horizontal="center" vertical="center" wrapText="1"/>
    </xf>
    <xf numFmtId="0" fontId="47" fillId="2" borderId="4" xfId="0" applyFont="1" applyFill="1" applyBorder="1" applyAlignment="1">
      <alignment horizontal="center" vertical="center" wrapText="1"/>
    </xf>
    <xf numFmtId="0" fontId="47" fillId="0" borderId="2" xfId="0" applyFont="1" applyBorder="1" applyAlignment="1">
      <alignment horizontal="center" vertical="center" wrapText="1"/>
    </xf>
    <xf numFmtId="0" fontId="51" fillId="34" borderId="2" xfId="0" applyFont="1" applyFill="1" applyBorder="1" applyAlignment="1">
      <alignment horizontal="center" vertical="center" wrapText="1"/>
    </xf>
    <xf numFmtId="0" fontId="48" fillId="34" borderId="3" xfId="0" applyFont="1" applyFill="1" applyBorder="1" applyAlignment="1">
      <alignment horizontal="center" vertical="center" wrapText="1"/>
    </xf>
    <xf numFmtId="0" fontId="48" fillId="34" borderId="4" xfId="0" applyFont="1" applyFill="1" applyBorder="1" applyAlignment="1">
      <alignment horizontal="center" vertical="center" wrapText="1"/>
    </xf>
    <xf numFmtId="0" fontId="46" fillId="5" borderId="2" xfId="0" applyFont="1" applyFill="1" applyBorder="1" applyAlignment="1" applyProtection="1">
      <alignment horizontal="center" vertical="center" wrapText="1"/>
      <protection locked="0"/>
    </xf>
    <xf numFmtId="0" fontId="46" fillId="5" borderId="3" xfId="0" applyFont="1" applyFill="1" applyBorder="1" applyAlignment="1" applyProtection="1">
      <alignment horizontal="center" vertical="center" wrapText="1"/>
      <protection locked="0"/>
    </xf>
    <xf numFmtId="0" fontId="46" fillId="5" borderId="4" xfId="0" applyFont="1" applyFill="1" applyBorder="1" applyAlignment="1" applyProtection="1">
      <alignment horizontal="center" vertical="center" wrapText="1"/>
      <protection locked="0"/>
    </xf>
    <xf numFmtId="0" fontId="47" fillId="0" borderId="3" xfId="0" applyFont="1" applyBorder="1" applyAlignment="1">
      <alignment horizontal="center" vertical="center" wrapText="1"/>
    </xf>
    <xf numFmtId="0" fontId="47" fillId="0" borderId="4" xfId="0" applyFont="1" applyBorder="1" applyAlignment="1">
      <alignment horizontal="center" vertical="center" wrapText="1"/>
    </xf>
    <xf numFmtId="0" fontId="59" fillId="34" borderId="2" xfId="0" applyFont="1" applyFill="1" applyBorder="1" applyAlignment="1">
      <alignment horizontal="center" vertical="center" wrapText="1"/>
    </xf>
    <xf numFmtId="0" fontId="59" fillId="34" borderId="3" xfId="0" applyFont="1" applyFill="1" applyBorder="1" applyAlignment="1">
      <alignment horizontal="center" vertical="center" wrapText="1"/>
    </xf>
    <xf numFmtId="0" fontId="59" fillId="34" borderId="4" xfId="0" applyFont="1" applyFill="1" applyBorder="1" applyAlignment="1">
      <alignment horizontal="center" vertical="center" wrapText="1"/>
    </xf>
    <xf numFmtId="0" fontId="60" fillId="0" borderId="1" xfId="0" applyFont="1" applyBorder="1" applyAlignment="1">
      <alignment horizontal="center" wrapText="1"/>
    </xf>
    <xf numFmtId="0" fontId="46" fillId="5" borderId="2" xfId="0" applyFont="1" applyFill="1" applyBorder="1" applyAlignment="1">
      <alignment horizontal="center" vertical="center" wrapText="1"/>
    </xf>
    <xf numFmtId="0" fontId="47" fillId="5" borderId="3" xfId="0" applyFont="1" applyFill="1" applyBorder="1" applyAlignment="1">
      <alignment horizontal="center" vertical="center" wrapText="1"/>
    </xf>
    <xf numFmtId="0" fontId="47" fillId="5" borderId="4" xfId="0" applyFont="1" applyFill="1" applyBorder="1" applyAlignment="1">
      <alignment horizontal="center" vertical="center" wrapText="1"/>
    </xf>
    <xf numFmtId="0" fontId="36" fillId="34" borderId="2" xfId="0" applyFont="1" applyFill="1" applyBorder="1" applyAlignment="1">
      <alignment horizontal="center" vertical="center" wrapText="1"/>
    </xf>
    <xf numFmtId="0" fontId="36" fillId="34" borderId="3" xfId="0" applyFont="1" applyFill="1" applyBorder="1" applyAlignment="1">
      <alignment horizontal="center" vertical="center" wrapText="1"/>
    </xf>
    <xf numFmtId="0" fontId="36" fillId="34" borderId="4" xfId="0" applyFont="1" applyFill="1" applyBorder="1" applyAlignment="1">
      <alignment horizontal="center" vertical="center" wrapText="1"/>
    </xf>
    <xf numFmtId="0" fontId="36" fillId="34" borderId="1" xfId="0" applyFont="1" applyFill="1" applyBorder="1" applyAlignment="1">
      <alignment horizontal="center" vertical="center" wrapText="1"/>
    </xf>
    <xf numFmtId="0" fontId="45" fillId="28" borderId="2" xfId="0" applyFont="1" applyFill="1" applyBorder="1" applyAlignment="1">
      <alignment horizontal="center" vertical="center" wrapText="1"/>
    </xf>
    <xf numFmtId="0" fontId="45" fillId="28" borderId="3" xfId="0" applyFont="1" applyFill="1" applyBorder="1" applyAlignment="1">
      <alignment horizontal="center" vertical="center" wrapText="1"/>
    </xf>
    <xf numFmtId="0" fontId="45" fillId="28" borderId="4" xfId="0" applyFont="1" applyFill="1" applyBorder="1" applyAlignment="1">
      <alignment horizontal="center" vertical="center" wrapText="1"/>
    </xf>
    <xf numFmtId="0" fontId="47" fillId="27" borderId="2" xfId="0" applyFont="1" applyFill="1" applyBorder="1" applyAlignment="1">
      <alignment horizontal="center" vertical="center" wrapText="1"/>
    </xf>
    <xf numFmtId="0" fontId="47" fillId="27" borderId="3" xfId="0" applyFont="1" applyFill="1" applyBorder="1" applyAlignment="1">
      <alignment horizontal="center" vertical="center" wrapText="1"/>
    </xf>
    <xf numFmtId="0" fontId="47" fillId="27" borderId="4" xfId="0" applyFont="1" applyFill="1" applyBorder="1" applyAlignment="1">
      <alignment horizontal="center" vertical="center" wrapText="1"/>
    </xf>
    <xf numFmtId="0" fontId="61" fillId="2" borderId="1" xfId="0" applyFont="1" applyFill="1" applyBorder="1" applyAlignment="1">
      <alignment horizontal="center" vertical="center" wrapText="1"/>
    </xf>
    <xf numFmtId="0" fontId="0" fillId="29" borderId="1" xfId="0" applyFill="1" applyBorder="1" applyAlignment="1">
      <alignment horizontal="left" vertical="center" wrapText="1"/>
    </xf>
    <xf numFmtId="0" fontId="63" fillId="30" borderId="1" xfId="0" applyFont="1" applyFill="1" applyBorder="1" applyAlignment="1">
      <alignment horizontal="center" vertical="center" wrapText="1"/>
    </xf>
    <xf numFmtId="0" fontId="47" fillId="30" borderId="1" xfId="0" applyFont="1" applyFill="1" applyBorder="1" applyAlignment="1">
      <alignment horizontal="center" vertical="center" wrapText="1"/>
    </xf>
    <xf numFmtId="0" fontId="47" fillId="30" borderId="2" xfId="0" applyFont="1" applyFill="1" applyBorder="1" applyAlignment="1">
      <alignment horizontal="center" vertical="center" wrapText="1"/>
    </xf>
    <xf numFmtId="0" fontId="47" fillId="30" borderId="3" xfId="0" applyFont="1" applyFill="1" applyBorder="1" applyAlignment="1">
      <alignment horizontal="center" vertical="center" wrapText="1"/>
    </xf>
    <xf numFmtId="0" fontId="47" fillId="30" borderId="4" xfId="0" applyFont="1" applyFill="1" applyBorder="1" applyAlignment="1">
      <alignment horizontal="center" vertical="center" wrapText="1"/>
    </xf>
    <xf numFmtId="0" fontId="63" fillId="30" borderId="2" xfId="0" applyFont="1" applyFill="1" applyBorder="1" applyAlignment="1">
      <alignment horizontal="center" vertical="center" wrapText="1"/>
    </xf>
    <xf numFmtId="0" fontId="63" fillId="30" borderId="3" xfId="0" applyFont="1" applyFill="1" applyBorder="1" applyAlignment="1">
      <alignment horizontal="center" vertical="center" wrapText="1"/>
    </xf>
    <xf numFmtId="0" fontId="63" fillId="30" borderId="4" xfId="0" applyFont="1" applyFill="1" applyBorder="1" applyAlignment="1">
      <alignment horizontal="center" vertical="center" wrapText="1"/>
    </xf>
    <xf numFmtId="0" fontId="62" fillId="28" borderId="2" xfId="0" applyFont="1" applyFill="1" applyBorder="1" applyAlignment="1">
      <alignment horizontal="center" vertical="center"/>
    </xf>
    <xf numFmtId="0" fontId="62" fillId="28" borderId="3" xfId="0" applyFont="1" applyFill="1" applyBorder="1" applyAlignment="1">
      <alignment horizontal="center" vertical="center"/>
    </xf>
    <xf numFmtId="0" fontId="62" fillId="28" borderId="4" xfId="0" applyFont="1" applyFill="1" applyBorder="1" applyAlignment="1">
      <alignment horizontal="center" vertical="center"/>
    </xf>
    <xf numFmtId="0" fontId="0" fillId="29" borderId="1" xfId="0" applyFill="1" applyBorder="1" applyAlignment="1">
      <alignment horizontal="left" vertical="center"/>
    </xf>
    <xf numFmtId="0" fontId="46" fillId="29" borderId="1" xfId="0" applyFont="1" applyFill="1" applyBorder="1" applyAlignment="1">
      <alignment horizontal="left" vertical="top" wrapText="1"/>
    </xf>
    <xf numFmtId="0" fontId="46" fillId="29" borderId="1" xfId="0" applyFont="1" applyFill="1" applyBorder="1" applyAlignment="1">
      <alignment horizontal="left" vertical="top"/>
    </xf>
    <xf numFmtId="0" fontId="46" fillId="29" borderId="5" xfId="0" applyFont="1" applyFill="1" applyBorder="1" applyAlignment="1">
      <alignment horizontal="left" vertical="top" wrapText="1"/>
    </xf>
    <xf numFmtId="0" fontId="46" fillId="29" borderId="6" xfId="0" applyFont="1" applyFill="1" applyBorder="1" applyAlignment="1">
      <alignment horizontal="left" vertical="top" wrapText="1"/>
    </xf>
    <xf numFmtId="0" fontId="46" fillId="29" borderId="7" xfId="0" applyFont="1" applyFill="1" applyBorder="1" applyAlignment="1">
      <alignment horizontal="left" vertical="top" wrapText="1"/>
    </xf>
    <xf numFmtId="0" fontId="46" fillId="29" borderId="8" xfId="0" applyFont="1" applyFill="1" applyBorder="1" applyAlignment="1">
      <alignment horizontal="left" vertical="top" wrapText="1"/>
    </xf>
    <xf numFmtId="0" fontId="46" fillId="29" borderId="0" xfId="0" applyFont="1" applyFill="1" applyAlignment="1">
      <alignment horizontal="left" vertical="top" wrapText="1"/>
    </xf>
    <xf numFmtId="0" fontId="46" fillId="29" borderId="9" xfId="0" applyFont="1" applyFill="1" applyBorder="1" applyAlignment="1">
      <alignment horizontal="left" vertical="top" wrapText="1"/>
    </xf>
    <xf numFmtId="0" fontId="46" fillId="29" borderId="10" xfId="0" applyFont="1" applyFill="1" applyBorder="1" applyAlignment="1">
      <alignment horizontal="left" vertical="top" wrapText="1"/>
    </xf>
    <xf numFmtId="0" fontId="46" fillId="29" borderId="11" xfId="0" applyFont="1" applyFill="1" applyBorder="1" applyAlignment="1">
      <alignment horizontal="left" vertical="top" wrapText="1"/>
    </xf>
    <xf numFmtId="0" fontId="46" fillId="29" borderId="12" xfId="0" applyFont="1" applyFill="1" applyBorder="1" applyAlignment="1">
      <alignment horizontal="left" vertical="top" wrapText="1"/>
    </xf>
    <xf numFmtId="0" fontId="51" fillId="24" borderId="5" xfId="0" applyFont="1" applyFill="1" applyBorder="1" applyAlignment="1">
      <alignment horizontal="center" wrapText="1"/>
    </xf>
    <xf numFmtId="0" fontId="51" fillId="24" borderId="6" xfId="0" applyFont="1" applyFill="1" applyBorder="1" applyAlignment="1">
      <alignment horizontal="center" wrapText="1"/>
    </xf>
    <xf numFmtId="0" fontId="51" fillId="24" borderId="7" xfId="0" applyFont="1" applyFill="1" applyBorder="1" applyAlignment="1">
      <alignment horizontal="center" wrapText="1"/>
    </xf>
    <xf numFmtId="0" fontId="51" fillId="24" borderId="8" xfId="0" applyFont="1" applyFill="1" applyBorder="1" applyAlignment="1">
      <alignment horizontal="center" wrapText="1"/>
    </xf>
    <xf numFmtId="0" fontId="51" fillId="24" borderId="0" xfId="0" applyFont="1" applyFill="1" applyAlignment="1">
      <alignment horizontal="center" wrapText="1"/>
    </xf>
    <xf numFmtId="0" fontId="51" fillId="24" borderId="9" xfId="0" applyFont="1" applyFill="1" applyBorder="1" applyAlignment="1">
      <alignment horizontal="center" wrapText="1"/>
    </xf>
    <xf numFmtId="0" fontId="46" fillId="29" borderId="13" xfId="0" applyFont="1" applyFill="1" applyBorder="1" applyAlignment="1">
      <alignment horizontal="center" vertical="center" wrapText="1"/>
    </xf>
    <xf numFmtId="0" fontId="46" fillId="29" borderId="19" xfId="0" applyFont="1" applyFill="1" applyBorder="1" applyAlignment="1">
      <alignment horizontal="center" vertical="center" wrapText="1"/>
    </xf>
    <xf numFmtId="0" fontId="46" fillId="29" borderId="14" xfId="0" applyFont="1" applyFill="1" applyBorder="1" applyAlignment="1">
      <alignment horizontal="center" vertical="center" wrapText="1"/>
    </xf>
    <xf numFmtId="0" fontId="63" fillId="8" borderId="2" xfId="0" applyFont="1" applyFill="1" applyBorder="1" applyAlignment="1">
      <alignment horizontal="center" vertical="center" wrapText="1"/>
    </xf>
    <xf numFmtId="0" fontId="63" fillId="8" borderId="3" xfId="0" applyFont="1" applyFill="1" applyBorder="1" applyAlignment="1">
      <alignment horizontal="center" vertical="center" wrapText="1"/>
    </xf>
    <xf numFmtId="0" fontId="63" fillId="8" borderId="4" xfId="0" applyFont="1" applyFill="1" applyBorder="1" applyAlignment="1">
      <alignment horizontal="center" vertical="center" wrapText="1"/>
    </xf>
    <xf numFmtId="0" fontId="47" fillId="24" borderId="2" xfId="0" applyFont="1" applyFill="1" applyBorder="1" applyAlignment="1">
      <alignment horizontal="center" vertical="center" wrapText="1"/>
    </xf>
    <xf numFmtId="0" fontId="47" fillId="24" borderId="3" xfId="0" applyFont="1" applyFill="1" applyBorder="1" applyAlignment="1">
      <alignment horizontal="center" vertical="center" wrapText="1"/>
    </xf>
    <xf numFmtId="0" fontId="47" fillId="24" borderId="4" xfId="0" applyFont="1" applyFill="1" applyBorder="1" applyAlignment="1">
      <alignment horizontal="center" vertical="center" wrapText="1"/>
    </xf>
    <xf numFmtId="0" fontId="47" fillId="3" borderId="2" xfId="0" applyFont="1" applyFill="1" applyBorder="1" applyAlignment="1">
      <alignment horizontal="center" vertical="center" wrapText="1"/>
    </xf>
    <xf numFmtId="0" fontId="47" fillId="3" borderId="3" xfId="0" applyFont="1" applyFill="1" applyBorder="1" applyAlignment="1">
      <alignment horizontal="center" vertical="center" wrapText="1"/>
    </xf>
    <xf numFmtId="0" fontId="47" fillId="3" borderId="4" xfId="0" applyFont="1" applyFill="1" applyBorder="1" applyAlignment="1">
      <alignment horizontal="center" vertical="center" wrapText="1"/>
    </xf>
    <xf numFmtId="0" fontId="46" fillId="24" borderId="2" xfId="0" applyFont="1" applyFill="1" applyBorder="1" applyAlignment="1">
      <alignment horizontal="center" wrapText="1"/>
    </xf>
    <xf numFmtId="0" fontId="46" fillId="24" borderId="3" xfId="0" applyFont="1" applyFill="1" applyBorder="1" applyAlignment="1">
      <alignment horizontal="center" wrapText="1"/>
    </xf>
    <xf numFmtId="0" fontId="46" fillId="24" borderId="4" xfId="0" applyFont="1" applyFill="1" applyBorder="1" applyAlignment="1">
      <alignment horizontal="center" wrapText="1"/>
    </xf>
    <xf numFmtId="0" fontId="47" fillId="24" borderId="5" xfId="0" applyFont="1" applyFill="1" applyBorder="1" applyAlignment="1">
      <alignment horizontal="center" vertical="center" wrapText="1"/>
    </xf>
    <xf numFmtId="0" fontId="47" fillId="24" borderId="6" xfId="0" applyFont="1" applyFill="1" applyBorder="1" applyAlignment="1">
      <alignment horizontal="center" vertical="center" wrapText="1"/>
    </xf>
    <xf numFmtId="0" fontId="47" fillId="24" borderId="7" xfId="0" applyFont="1" applyFill="1" applyBorder="1" applyAlignment="1">
      <alignment horizontal="center" vertical="center" wrapText="1"/>
    </xf>
    <xf numFmtId="0" fontId="56" fillId="29" borderId="2" xfId="0" applyFont="1" applyFill="1" applyBorder="1" applyAlignment="1" applyProtection="1">
      <alignment horizontal="center" vertical="center" wrapText="1"/>
      <protection locked="0"/>
    </xf>
    <xf numFmtId="0" fontId="56" fillId="29" borderId="4" xfId="0" applyFont="1" applyFill="1" applyBorder="1" applyAlignment="1" applyProtection="1">
      <alignment horizontal="center" vertical="center" wrapText="1"/>
      <protection locked="0"/>
    </xf>
    <xf numFmtId="0" fontId="46" fillId="2" borderId="2" xfId="0" applyFont="1" applyFill="1" applyBorder="1" applyAlignment="1">
      <alignment horizontal="center" vertical="top" wrapText="1"/>
    </xf>
    <xf numFmtId="0" fontId="46" fillId="2" borderId="3" xfId="0" applyFont="1" applyFill="1" applyBorder="1" applyAlignment="1">
      <alignment horizontal="center" vertical="top" wrapText="1"/>
    </xf>
    <xf numFmtId="0" fontId="46" fillId="2" borderId="4" xfId="0" applyFont="1" applyFill="1" applyBorder="1" applyAlignment="1">
      <alignment horizontal="center" vertical="top" wrapText="1"/>
    </xf>
    <xf numFmtId="0" fontId="64" fillId="2" borderId="2" xfId="0" applyFont="1" applyFill="1" applyBorder="1" applyAlignment="1">
      <alignment horizontal="center" vertical="center" wrapText="1"/>
    </xf>
    <xf numFmtId="0" fontId="64" fillId="2" borderId="3" xfId="0" applyFont="1" applyFill="1" applyBorder="1" applyAlignment="1">
      <alignment horizontal="center" vertical="center" wrapText="1"/>
    </xf>
    <xf numFmtId="0" fontId="64" fillId="2" borderId="4" xfId="0" applyFont="1" applyFill="1" applyBorder="1" applyAlignment="1">
      <alignment horizontal="center" vertical="center" wrapText="1"/>
    </xf>
    <xf numFmtId="0" fontId="45" fillId="3" borderId="2" xfId="0" applyFont="1" applyFill="1" applyBorder="1" applyAlignment="1">
      <alignment horizontal="center" vertical="center" wrapText="1"/>
    </xf>
    <xf numFmtId="0" fontId="45" fillId="3" borderId="3" xfId="0" applyFont="1" applyFill="1" applyBorder="1" applyAlignment="1">
      <alignment horizontal="center" vertical="center" wrapText="1"/>
    </xf>
    <xf numFmtId="0" fontId="45" fillId="3" borderId="4" xfId="0" applyFont="1" applyFill="1" applyBorder="1" applyAlignment="1">
      <alignment horizontal="center" vertical="center" wrapText="1"/>
    </xf>
    <xf numFmtId="0" fontId="56" fillId="3" borderId="2" xfId="0" applyFont="1" applyFill="1" applyBorder="1" applyAlignment="1" applyProtection="1">
      <alignment horizontal="center" vertical="center" wrapText="1"/>
      <protection locked="0"/>
    </xf>
    <xf numFmtId="0" fontId="56" fillId="3" borderId="4" xfId="0" applyFont="1" applyFill="1" applyBorder="1" applyAlignment="1" applyProtection="1">
      <alignment horizontal="center" vertical="center" wrapText="1"/>
      <protection locked="0"/>
    </xf>
    <xf numFmtId="0" fontId="45" fillId="34" borderId="3" xfId="0" applyFont="1" applyFill="1" applyBorder="1" applyAlignment="1">
      <alignment horizontal="center" vertical="center" wrapText="1"/>
    </xf>
    <xf numFmtId="0" fontId="45" fillId="34" borderId="4" xfId="0" applyFont="1" applyFill="1" applyBorder="1" applyAlignment="1">
      <alignment horizontal="center" vertical="center" wrapText="1"/>
    </xf>
    <xf numFmtId="166" fontId="46" fillId="34" borderId="3" xfId="0" applyNumberFormat="1" applyFont="1" applyFill="1" applyBorder="1" applyAlignment="1" applyProtection="1">
      <alignment horizontal="center" wrapText="1"/>
      <protection locked="0"/>
    </xf>
    <xf numFmtId="166" fontId="46" fillId="34" borderId="4" xfId="0" applyNumberFormat="1" applyFont="1" applyFill="1" applyBorder="1" applyAlignment="1" applyProtection="1">
      <alignment horizontal="center" wrapText="1"/>
      <protection locked="0"/>
    </xf>
    <xf numFmtId="0" fontId="47" fillId="0" borderId="2" xfId="0" applyFont="1" applyBorder="1" applyAlignment="1">
      <alignment horizontal="left" wrapText="1"/>
    </xf>
    <xf numFmtId="0" fontId="47" fillId="0" borderId="3" xfId="0" applyFont="1" applyBorder="1" applyAlignment="1">
      <alignment horizontal="left" wrapText="1"/>
    </xf>
    <xf numFmtId="0" fontId="47" fillId="0" borderId="4" xfId="0" applyFont="1" applyBorder="1" applyAlignment="1">
      <alignment horizontal="left" wrapText="1"/>
    </xf>
    <xf numFmtId="0" fontId="47" fillId="0" borderId="2" xfId="0" applyFont="1" applyBorder="1" applyAlignment="1">
      <alignment wrapText="1"/>
    </xf>
    <xf numFmtId="0" fontId="47" fillId="0" borderId="3" xfId="0" applyFont="1" applyBorder="1" applyAlignment="1">
      <alignment wrapText="1"/>
    </xf>
    <xf numFmtId="0" fontId="47" fillId="0" borderId="4" xfId="0" applyFont="1" applyBorder="1" applyAlignment="1">
      <alignment wrapText="1"/>
    </xf>
    <xf numFmtId="0" fontId="25" fillId="0" borderId="13"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14" xfId="0" applyFont="1" applyBorder="1" applyAlignment="1">
      <alignment horizontal="center" vertical="center" wrapText="1"/>
    </xf>
    <xf numFmtId="0" fontId="46" fillId="29" borderId="1" xfId="0" applyFont="1" applyFill="1" applyBorder="1" applyAlignment="1">
      <alignment horizontal="center" vertical="center"/>
    </xf>
    <xf numFmtId="0" fontId="46" fillId="29" borderId="13" xfId="0" applyFont="1" applyFill="1" applyBorder="1" applyAlignment="1">
      <alignment horizontal="center" vertical="center"/>
    </xf>
    <xf numFmtId="0" fontId="46" fillId="29" borderId="19" xfId="0" applyFont="1" applyFill="1" applyBorder="1" applyAlignment="1">
      <alignment horizontal="center" vertical="center"/>
    </xf>
    <xf numFmtId="0" fontId="46" fillId="29" borderId="14" xfId="0" applyFont="1" applyFill="1" applyBorder="1" applyAlignment="1">
      <alignment horizontal="center" vertical="center"/>
    </xf>
    <xf numFmtId="0" fontId="46" fillId="29" borderId="1" xfId="0" applyFont="1" applyFill="1" applyBorder="1" applyAlignment="1">
      <alignment horizontal="center" vertical="center" wrapText="1"/>
    </xf>
    <xf numFmtId="0" fontId="17" fillId="0" borderId="3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83" xfId="0" applyFont="1" applyBorder="1" applyAlignment="1">
      <alignment horizontal="center" vertical="center" wrapText="1"/>
    </xf>
    <xf numFmtId="0" fontId="17" fillId="0" borderId="41" xfId="0" applyFont="1" applyBorder="1" applyAlignment="1">
      <alignment horizontal="center" vertical="center" wrapText="1"/>
    </xf>
    <xf numFmtId="0" fontId="17" fillId="0" borderId="42" xfId="0" applyFont="1" applyBorder="1" applyAlignment="1">
      <alignment horizontal="center" vertical="center" wrapText="1"/>
    </xf>
    <xf numFmtId="0" fontId="17" fillId="0" borderId="82" xfId="0" applyFont="1" applyBorder="1" applyAlignment="1">
      <alignment horizontal="center" vertical="center" wrapText="1"/>
    </xf>
    <xf numFmtId="0" fontId="17" fillId="0" borderId="40" xfId="0" applyFont="1" applyBorder="1" applyAlignment="1">
      <alignment horizontal="center" vertical="center" wrapText="1"/>
    </xf>
    <xf numFmtId="0" fontId="17" fillId="0" borderId="4" xfId="0" applyFont="1" applyBorder="1" applyAlignment="1">
      <alignment horizontal="center" vertical="center" wrapText="1"/>
    </xf>
    <xf numFmtId="10" fontId="17" fillId="0" borderId="1" xfId="0" applyNumberFormat="1" applyFont="1" applyBorder="1" applyAlignment="1">
      <alignment horizontal="center" vertical="center" wrapText="1"/>
    </xf>
    <xf numFmtId="0" fontId="66" fillId="0" borderId="13" xfId="0" applyFont="1" applyBorder="1" applyAlignment="1">
      <alignment horizontal="center" vertical="center"/>
    </xf>
    <xf numFmtId="0" fontId="76" fillId="0" borderId="65" xfId="0" applyFont="1" applyBorder="1" applyAlignment="1">
      <alignment horizontal="center" vertical="center"/>
    </xf>
    <xf numFmtId="0" fontId="76" fillId="0" borderId="66" xfId="0" applyFont="1" applyBorder="1" applyAlignment="1">
      <alignment horizontal="center" vertical="center"/>
    </xf>
    <xf numFmtId="0" fontId="76" fillId="0" borderId="67" xfId="0" applyFont="1" applyBorder="1" applyAlignment="1">
      <alignment horizontal="center" vertical="center"/>
    </xf>
    <xf numFmtId="0" fontId="0" fillId="0" borderId="82" xfId="0" applyBorder="1" applyAlignment="1">
      <alignment horizontal="center"/>
    </xf>
    <xf numFmtId="0" fontId="0" fillId="0" borderId="3" xfId="0" applyBorder="1" applyAlignment="1">
      <alignment horizontal="center"/>
    </xf>
    <xf numFmtId="0" fontId="0" fillId="0" borderId="83" xfId="0" applyBorder="1" applyAlignment="1">
      <alignment horizontal="center"/>
    </xf>
    <xf numFmtId="0" fontId="75" fillId="2" borderId="5" xfId="0" applyFont="1" applyFill="1" applyBorder="1" applyAlignment="1">
      <alignment horizontal="left" vertical="center" wrapText="1"/>
    </xf>
    <xf numFmtId="0" fontId="75" fillId="2" borderId="6" xfId="0" applyFont="1" applyFill="1" applyBorder="1" applyAlignment="1">
      <alignment horizontal="left" vertical="center" wrapText="1"/>
    </xf>
    <xf numFmtId="0" fontId="75" fillId="2" borderId="7" xfId="0" applyFont="1" applyFill="1" applyBorder="1" applyAlignment="1">
      <alignment horizontal="left" vertical="center" wrapText="1"/>
    </xf>
    <xf numFmtId="0" fontId="75" fillId="2" borderId="10" xfId="0" applyFont="1" applyFill="1" applyBorder="1" applyAlignment="1">
      <alignment horizontal="left" vertical="center" wrapText="1"/>
    </xf>
    <xf numFmtId="0" fontId="75" fillId="2" borderId="11" xfId="0" applyFont="1" applyFill="1" applyBorder="1" applyAlignment="1">
      <alignment horizontal="left" vertical="center" wrapText="1"/>
    </xf>
    <xf numFmtId="0" fontId="75" fillId="2" borderId="12" xfId="0" applyFont="1" applyFill="1" applyBorder="1" applyAlignment="1">
      <alignment horizontal="left" vertical="center" wrapText="1"/>
    </xf>
    <xf numFmtId="0" fontId="2" fillId="2" borderId="1" xfId="0" applyFont="1" applyFill="1" applyBorder="1" applyAlignment="1">
      <alignment horizontal="center" vertical="center"/>
    </xf>
    <xf numFmtId="0" fontId="75" fillId="2" borderId="1" xfId="0" applyFont="1" applyFill="1" applyBorder="1" applyAlignment="1">
      <alignment horizontal="center" vertical="center"/>
    </xf>
    <xf numFmtId="0" fontId="4" fillId="0" borderId="1" xfId="0" applyFont="1" applyBorder="1" applyAlignment="1">
      <alignment horizontal="center" vertical="center"/>
    </xf>
    <xf numFmtId="0" fontId="2" fillId="2" borderId="0" xfId="0" applyFont="1" applyFill="1" applyAlignment="1">
      <alignment horizontal="center" vertical="center"/>
    </xf>
    <xf numFmtId="0" fontId="75" fillId="2" borderId="2" xfId="0" applyFont="1" applyFill="1" applyBorder="1" applyAlignment="1">
      <alignment horizontal="center" vertical="center"/>
    </xf>
    <xf numFmtId="0" fontId="75"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75" fillId="2" borderId="5" xfId="0" applyFont="1" applyFill="1" applyBorder="1" applyAlignment="1">
      <alignment horizontal="center" vertical="center" wrapText="1"/>
    </xf>
    <xf numFmtId="0" fontId="75" fillId="2" borderId="6" xfId="0" applyFont="1" applyFill="1" applyBorder="1" applyAlignment="1">
      <alignment horizontal="center" vertical="center" wrapText="1"/>
    </xf>
    <xf numFmtId="0" fontId="75" fillId="2" borderId="7" xfId="0" applyFont="1" applyFill="1" applyBorder="1" applyAlignment="1">
      <alignment horizontal="center" vertical="center" wrapText="1"/>
    </xf>
    <xf numFmtId="0" fontId="75" fillId="2" borderId="10" xfId="0" applyFont="1" applyFill="1" applyBorder="1" applyAlignment="1">
      <alignment horizontal="center" vertical="center" wrapText="1"/>
    </xf>
    <xf numFmtId="0" fontId="75" fillId="2" borderId="11" xfId="0" applyFont="1" applyFill="1" applyBorder="1" applyAlignment="1">
      <alignment horizontal="center" vertical="center" wrapText="1"/>
    </xf>
    <xf numFmtId="0" fontId="75" fillId="2" borderId="12" xfId="0" applyFont="1" applyFill="1" applyBorder="1" applyAlignment="1">
      <alignment horizontal="center" vertical="center" wrapText="1"/>
    </xf>
    <xf numFmtId="0" fontId="71" fillId="0" borderId="16" xfId="3" applyFont="1" applyBorder="1" applyAlignment="1">
      <alignment horizontal="center" vertical="center"/>
    </xf>
    <xf numFmtId="0" fontId="71" fillId="0" borderId="17" xfId="3" applyFont="1" applyBorder="1" applyAlignment="1">
      <alignment horizontal="center" vertical="center"/>
    </xf>
    <xf numFmtId="0" fontId="71" fillId="0" borderId="18" xfId="3" applyFont="1" applyBorder="1" applyAlignment="1">
      <alignment horizontal="center" vertical="center"/>
    </xf>
    <xf numFmtId="0" fontId="73" fillId="0" borderId="76" xfId="3" applyFont="1" applyBorder="1" applyAlignment="1">
      <alignment horizontal="center" vertical="center" wrapText="1"/>
    </xf>
    <xf numFmtId="0" fontId="73" fillId="0" borderId="79" xfId="3" applyFont="1" applyBorder="1" applyAlignment="1">
      <alignment horizontal="center" vertical="center" wrapText="1"/>
    </xf>
    <xf numFmtId="0" fontId="69" fillId="26" borderId="16" xfId="0" applyFont="1" applyFill="1" applyBorder="1" applyAlignment="1">
      <alignment horizontal="center" vertical="center"/>
    </xf>
    <xf numFmtId="0" fontId="69" fillId="26" borderId="17" xfId="0" applyFont="1" applyFill="1" applyBorder="1" applyAlignment="1">
      <alignment horizontal="center" vertical="center"/>
    </xf>
    <xf numFmtId="0" fontId="69" fillId="26" borderId="18" xfId="0" applyFont="1" applyFill="1" applyBorder="1" applyAlignment="1">
      <alignment horizontal="center" vertical="center"/>
    </xf>
    <xf numFmtId="0" fontId="35" fillId="2" borderId="80" xfId="0" applyFont="1" applyFill="1" applyBorder="1" applyAlignment="1">
      <alignment horizontal="center" vertical="center"/>
    </xf>
    <xf numFmtId="0" fontId="35" fillId="2" borderId="66" xfId="0" applyFont="1" applyFill="1" applyBorder="1" applyAlignment="1">
      <alignment horizontal="center" vertical="center"/>
    </xf>
    <xf numFmtId="0" fontId="35" fillId="2" borderId="81" xfId="0" applyFont="1" applyFill="1" applyBorder="1" applyAlignment="1">
      <alignment horizontal="center" vertical="center"/>
    </xf>
    <xf numFmtId="0" fontId="75" fillId="2" borderId="3" xfId="0" applyFont="1" applyFill="1" applyBorder="1" applyAlignment="1">
      <alignment horizontal="center" vertical="center"/>
    </xf>
    <xf numFmtId="0" fontId="21" fillId="0" borderId="59" xfId="0" applyFont="1" applyBorder="1" applyAlignment="1">
      <alignment horizontal="center" vertical="center" wrapText="1"/>
    </xf>
    <xf numFmtId="0" fontId="21" fillId="0" borderId="60" xfId="0" applyFont="1" applyBorder="1" applyAlignment="1">
      <alignment horizontal="center" vertical="center" wrapText="1"/>
    </xf>
    <xf numFmtId="0" fontId="21" fillId="0" borderId="61" xfId="0" applyFont="1" applyBorder="1" applyAlignment="1">
      <alignment horizontal="center" vertical="center" wrapText="1"/>
    </xf>
    <xf numFmtId="0" fontId="69" fillId="34" borderId="2" xfId="0" applyFont="1" applyFill="1" applyBorder="1" applyAlignment="1">
      <alignment horizontal="center" vertical="center"/>
    </xf>
    <xf numFmtId="0" fontId="69" fillId="34" borderId="3" xfId="0" applyFont="1" applyFill="1" applyBorder="1" applyAlignment="1">
      <alignment horizontal="center" vertical="center"/>
    </xf>
    <xf numFmtId="0" fontId="69" fillId="34" borderId="4" xfId="0" applyFont="1" applyFill="1" applyBorder="1" applyAlignment="1">
      <alignment horizontal="center" vertical="center"/>
    </xf>
    <xf numFmtId="0" fontId="17" fillId="0" borderId="2" xfId="0" applyFont="1" applyBorder="1" applyAlignment="1">
      <alignment horizontal="center"/>
    </xf>
    <xf numFmtId="0" fontId="17" fillId="0" borderId="3" xfId="0" applyFont="1" applyBorder="1" applyAlignment="1">
      <alignment horizontal="center"/>
    </xf>
    <xf numFmtId="0" fontId="17" fillId="0" borderId="4" xfId="0" applyFont="1" applyBorder="1" applyAlignment="1">
      <alignment horizontal="center"/>
    </xf>
    <xf numFmtId="0" fontId="66" fillId="26" borderId="16" xfId="0" applyFont="1" applyFill="1" applyBorder="1" applyAlignment="1">
      <alignment horizontal="center" vertical="center"/>
    </xf>
    <xf numFmtId="0" fontId="66" fillId="26" borderId="17" xfId="0" applyFont="1" applyFill="1" applyBorder="1" applyAlignment="1">
      <alignment horizontal="center" vertical="center"/>
    </xf>
    <xf numFmtId="0" fontId="66" fillId="26" borderId="18" xfId="0" applyFont="1" applyFill="1" applyBorder="1" applyAlignment="1">
      <alignment horizontal="center" vertical="center"/>
    </xf>
    <xf numFmtId="0" fontId="40" fillId="0" borderId="59" xfId="0" applyFont="1" applyBorder="1" applyAlignment="1">
      <alignment horizontal="center" vertical="center"/>
    </xf>
    <xf numFmtId="0" fontId="40" fillId="0" borderId="60" xfId="0" applyFont="1" applyBorder="1" applyAlignment="1">
      <alignment horizontal="center" vertical="center"/>
    </xf>
    <xf numFmtId="0" fontId="40" fillId="0" borderId="61" xfId="0" applyFont="1" applyBorder="1" applyAlignment="1">
      <alignment horizontal="center" vertical="center"/>
    </xf>
    <xf numFmtId="0" fontId="66" fillId="41" borderId="62" xfId="0" applyFont="1" applyFill="1" applyBorder="1" applyAlignment="1">
      <alignment horizontal="center" vertical="center"/>
    </xf>
    <xf numFmtId="0" fontId="66" fillId="41" borderId="63" xfId="0" applyFont="1" applyFill="1" applyBorder="1" applyAlignment="1">
      <alignment horizontal="center" vertical="center"/>
    </xf>
    <xf numFmtId="0" fontId="66" fillId="41" borderId="64" xfId="0" applyFont="1" applyFill="1" applyBorder="1" applyAlignment="1">
      <alignment horizontal="center" vertical="center"/>
    </xf>
    <xf numFmtId="0" fontId="69" fillId="36" borderId="1" xfId="0" applyFont="1" applyFill="1" applyBorder="1" applyAlignment="1">
      <alignment horizontal="center" vertical="center"/>
    </xf>
    <xf numFmtId="0" fontId="67" fillId="34" borderId="2" xfId="0" applyFont="1" applyFill="1" applyBorder="1" applyAlignment="1">
      <alignment horizontal="center" vertical="center" wrapText="1"/>
    </xf>
    <xf numFmtId="0" fontId="67" fillId="34" borderId="3" xfId="0" applyFont="1" applyFill="1" applyBorder="1" applyAlignment="1">
      <alignment horizontal="center" vertical="center" wrapText="1"/>
    </xf>
    <xf numFmtId="0" fontId="67" fillId="34" borderId="4" xfId="0" applyFont="1" applyFill="1" applyBorder="1" applyAlignment="1">
      <alignment horizontal="center" vertical="center" wrapText="1"/>
    </xf>
    <xf numFmtId="0" fontId="69" fillId="34" borderId="65" xfId="0" applyFont="1" applyFill="1" applyBorder="1" applyAlignment="1">
      <alignment horizontal="center" vertical="center" wrapText="1"/>
    </xf>
    <xf numFmtId="0" fontId="69" fillId="34" borderId="66" xfId="0" applyFont="1" applyFill="1" applyBorder="1" applyAlignment="1">
      <alignment horizontal="center" vertical="center" wrapText="1"/>
    </xf>
    <xf numFmtId="0" fontId="69" fillId="34" borderId="67" xfId="0" applyFont="1" applyFill="1" applyBorder="1" applyAlignment="1">
      <alignment horizontal="center" vertical="center" wrapText="1"/>
    </xf>
    <xf numFmtId="0" fontId="40" fillId="0" borderId="54" xfId="0" applyFont="1" applyBorder="1" applyAlignment="1">
      <alignment horizontal="center" vertical="center"/>
    </xf>
    <xf numFmtId="0" fontId="40" fillId="0" borderId="55" xfId="0" applyFont="1" applyBorder="1" applyAlignment="1">
      <alignment horizontal="center" vertical="center"/>
    </xf>
    <xf numFmtId="0" fontId="40" fillId="0" borderId="56" xfId="0" applyFont="1" applyBorder="1" applyAlignment="1">
      <alignment horizontal="center" vertical="center"/>
    </xf>
    <xf numFmtId="0" fontId="66" fillId="40" borderId="16" xfId="0" applyFont="1" applyFill="1" applyBorder="1" applyAlignment="1">
      <alignment horizontal="center" vertical="center"/>
    </xf>
    <xf numFmtId="0" fontId="66" fillId="40" borderId="17" xfId="0" applyFont="1" applyFill="1" applyBorder="1" applyAlignment="1">
      <alignment horizontal="center" vertical="center"/>
    </xf>
    <xf numFmtId="0" fontId="66" fillId="40" borderId="18" xfId="0" applyFont="1" applyFill="1" applyBorder="1" applyAlignment="1">
      <alignment horizontal="center" vertical="center"/>
    </xf>
    <xf numFmtId="0" fontId="62" fillId="0" borderId="16" xfId="0" applyFont="1" applyBorder="1" applyAlignment="1">
      <alignment horizontal="center" vertical="center" wrapText="1"/>
    </xf>
    <xf numFmtId="0" fontId="67" fillId="0" borderId="17" xfId="0" applyFont="1" applyBorder="1" applyAlignment="1">
      <alignment horizontal="center" vertical="center" wrapText="1"/>
    </xf>
    <xf numFmtId="0" fontId="67" fillId="0" borderId="18" xfId="0" applyFont="1" applyBorder="1" applyAlignment="1">
      <alignment horizontal="center" vertical="center" wrapText="1"/>
    </xf>
    <xf numFmtId="0" fontId="67" fillId="0" borderId="37" xfId="0" applyFont="1" applyBorder="1" applyAlignment="1">
      <alignment horizontal="center" vertical="center" wrapText="1"/>
    </xf>
    <xf numFmtId="0" fontId="67" fillId="0" borderId="32" xfId="0" applyFont="1" applyBorder="1" applyAlignment="1">
      <alignment horizontal="center" vertical="center" wrapText="1"/>
    </xf>
    <xf numFmtId="0" fontId="67" fillId="0" borderId="57" xfId="0" applyFont="1" applyBorder="1" applyAlignment="1">
      <alignment horizontal="center" vertical="center" wrapText="1"/>
    </xf>
    <xf numFmtId="0" fontId="67" fillId="0" borderId="58" xfId="0" applyFont="1" applyBorder="1" applyAlignment="1">
      <alignment horizontal="center" vertical="center" wrapText="1"/>
    </xf>
    <xf numFmtId="0" fontId="66" fillId="39" borderId="16" xfId="0" applyFont="1" applyFill="1" applyBorder="1" applyAlignment="1">
      <alignment horizontal="center" vertical="center"/>
    </xf>
    <xf numFmtId="0" fontId="66" fillId="39" borderId="17" xfId="0" applyFont="1" applyFill="1" applyBorder="1" applyAlignment="1">
      <alignment horizontal="center" vertical="center"/>
    </xf>
    <xf numFmtId="0" fontId="66" fillId="39" borderId="18" xfId="0" applyFont="1" applyFill="1" applyBorder="1" applyAlignment="1">
      <alignment horizontal="center" vertical="center"/>
    </xf>
    <xf numFmtId="0" fontId="62" fillId="0" borderId="47" xfId="0" applyFont="1" applyBorder="1" applyAlignment="1">
      <alignment horizontal="center" vertical="center" wrapText="1"/>
    </xf>
    <xf numFmtId="0" fontId="67" fillId="0" borderId="48" xfId="0" applyFont="1" applyBorder="1" applyAlignment="1">
      <alignment horizontal="center" vertical="center" wrapText="1"/>
    </xf>
    <xf numFmtId="0" fontId="67" fillId="0" borderId="49" xfId="0" applyFont="1" applyBorder="1" applyAlignment="1">
      <alignment horizontal="center" vertical="center" wrapText="1"/>
    </xf>
    <xf numFmtId="0" fontId="67" fillId="0" borderId="38" xfId="0" applyFont="1" applyBorder="1" applyAlignment="1">
      <alignment horizontal="center" vertical="center" wrapText="1"/>
    </xf>
    <xf numFmtId="0" fontId="67" fillId="0" borderId="1" xfId="0" applyFont="1" applyBorder="1" applyAlignment="1">
      <alignment horizontal="center" vertical="center" wrapText="1"/>
    </xf>
    <xf numFmtId="0" fontId="67" fillId="0" borderId="39" xfId="0" applyFont="1" applyBorder="1" applyAlignment="1">
      <alignment horizontal="center" vertical="center" wrapText="1"/>
    </xf>
    <xf numFmtId="0" fontId="67" fillId="0" borderId="40" xfId="0" applyFont="1" applyBorder="1" applyAlignment="1">
      <alignment horizontal="center" vertical="center" wrapText="1"/>
    </xf>
    <xf numFmtId="0" fontId="66" fillId="38" borderId="16" xfId="0" applyFont="1" applyFill="1" applyBorder="1" applyAlignment="1">
      <alignment horizontal="center" vertical="center"/>
    </xf>
    <xf numFmtId="0" fontId="66" fillId="38" borderId="17" xfId="0" applyFont="1" applyFill="1" applyBorder="1" applyAlignment="1">
      <alignment horizontal="center" vertical="center"/>
    </xf>
    <xf numFmtId="0" fontId="66" fillId="38" borderId="18" xfId="0" applyFont="1" applyFill="1" applyBorder="1" applyAlignment="1">
      <alignment horizontal="center" vertical="center"/>
    </xf>
    <xf numFmtId="0" fontId="35" fillId="0" borderId="44" xfId="0" applyFont="1" applyBorder="1" applyAlignment="1">
      <alignment horizontal="center" vertical="center" wrapText="1"/>
    </xf>
    <xf numFmtId="0" fontId="35" fillId="0" borderId="45" xfId="0" applyFont="1" applyBorder="1" applyAlignment="1">
      <alignment horizontal="center" vertical="center" wrapText="1"/>
    </xf>
    <xf numFmtId="0" fontId="35" fillId="0" borderId="46" xfId="0" applyFont="1" applyBorder="1" applyAlignment="1">
      <alignment horizontal="center" vertical="center" wrapText="1"/>
    </xf>
    <xf numFmtId="0" fontId="9" fillId="7"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7" borderId="2" xfId="0" applyFont="1" applyFill="1" applyBorder="1" applyAlignment="1" applyProtection="1">
      <alignment horizontal="left" vertical="center" wrapText="1"/>
      <protection locked="0"/>
    </xf>
    <xf numFmtId="0" fontId="10" fillId="7" borderId="3" xfId="0" applyFont="1" applyFill="1" applyBorder="1" applyAlignment="1" applyProtection="1">
      <alignment horizontal="left" vertical="center" wrapText="1"/>
      <protection locked="0"/>
    </xf>
    <xf numFmtId="0" fontId="10" fillId="7" borderId="4" xfId="0" applyFont="1" applyFill="1" applyBorder="1" applyAlignment="1" applyProtection="1">
      <alignment horizontal="left" vertical="center" wrapText="1"/>
      <protection locked="0"/>
    </xf>
    <xf numFmtId="0" fontId="10" fillId="2" borderId="1" xfId="0" applyFont="1" applyFill="1" applyBorder="1" applyAlignment="1" applyProtection="1">
      <alignment horizontal="left" vertical="center" wrapText="1"/>
      <protection locked="0"/>
    </xf>
    <xf numFmtId="0" fontId="10" fillId="2" borderId="2"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left" vertical="center" wrapText="1"/>
      <protection locked="0"/>
    </xf>
    <xf numFmtId="0" fontId="10" fillId="2" borderId="1" xfId="0" applyFont="1" applyFill="1" applyBorder="1" applyAlignment="1">
      <alignment horizontal="left" vertical="center" wrapText="1"/>
    </xf>
    <xf numFmtId="0" fontId="9" fillId="23" borderId="1" xfId="0" applyFont="1" applyFill="1" applyBorder="1" applyAlignment="1" applyProtection="1">
      <alignment horizontal="left" vertical="center" wrapText="1"/>
      <protection locked="0"/>
    </xf>
    <xf numFmtId="0" fontId="5" fillId="7" borderId="1" xfId="0" applyFont="1" applyFill="1" applyBorder="1" applyAlignment="1">
      <alignment horizontal="left" vertical="center" wrapText="1"/>
    </xf>
    <xf numFmtId="0" fontId="4" fillId="7" borderId="2" xfId="0" applyFont="1" applyFill="1" applyBorder="1" applyAlignment="1" applyProtection="1">
      <alignment horizontal="left" vertical="center" wrapText="1"/>
      <protection locked="0"/>
    </xf>
    <xf numFmtId="0" fontId="4" fillId="7" borderId="4" xfId="0" applyFont="1" applyFill="1" applyBorder="1" applyAlignment="1" applyProtection="1">
      <alignment horizontal="left" vertical="center" wrapText="1"/>
      <protection locked="0"/>
    </xf>
    <xf numFmtId="0" fontId="4" fillId="7" borderId="6" xfId="0" applyFont="1" applyFill="1" applyBorder="1" applyAlignment="1">
      <alignment horizontal="left" vertical="center" wrapText="1"/>
    </xf>
    <xf numFmtId="0" fontId="4" fillId="7" borderId="7" xfId="0" applyFont="1" applyFill="1" applyBorder="1" applyAlignment="1">
      <alignment horizontal="left" vertical="center"/>
    </xf>
    <xf numFmtId="0" fontId="4" fillId="7" borderId="6" xfId="0" applyFont="1" applyFill="1" applyBorder="1" applyAlignment="1">
      <alignment horizontal="left" vertical="center"/>
    </xf>
    <xf numFmtId="166" fontId="10" fillId="7" borderId="2" xfId="0" applyNumberFormat="1" applyFont="1" applyFill="1" applyBorder="1" applyAlignment="1" applyProtection="1">
      <alignment horizontal="left" vertical="center" wrapText="1"/>
      <protection locked="0"/>
    </xf>
    <xf numFmtId="166" fontId="10" fillId="7" borderId="4" xfId="0" applyNumberFormat="1" applyFont="1" applyFill="1" applyBorder="1" applyAlignment="1" applyProtection="1">
      <alignment horizontal="left" vertical="center" wrapText="1"/>
      <protection locked="0"/>
    </xf>
    <xf numFmtId="0" fontId="9" fillId="10"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7" borderId="1" xfId="0" applyFont="1" applyFill="1" applyBorder="1" applyAlignment="1" applyProtection="1">
      <alignment horizontal="left" vertical="center" wrapText="1"/>
      <protection locked="0"/>
    </xf>
    <xf numFmtId="0" fontId="0" fillId="0" borderId="0" xfId="0" applyAlignment="1">
      <alignment horizontal="center"/>
    </xf>
    <xf numFmtId="0" fontId="10" fillId="2" borderId="5"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10" xfId="0" applyFont="1" applyFill="1" applyBorder="1" applyAlignment="1" applyProtection="1">
      <alignment horizontal="center" vertical="center" wrapText="1"/>
      <protection locked="0"/>
    </xf>
    <xf numFmtId="0" fontId="10" fillId="2" borderId="12" xfId="0" applyFont="1" applyFill="1" applyBorder="1" applyAlignment="1" applyProtection="1">
      <alignment horizontal="center" vertical="center" wrapText="1"/>
      <protection locked="0"/>
    </xf>
    <xf numFmtId="0" fontId="5" fillId="0" borderId="6" xfId="0" applyFont="1" applyBorder="1" applyAlignment="1">
      <alignment horizontal="left" vertical="center"/>
    </xf>
    <xf numFmtId="0" fontId="9" fillId="10" borderId="13" xfId="0" applyFont="1" applyFill="1" applyBorder="1" applyAlignment="1">
      <alignment horizontal="left" vertical="center" wrapText="1"/>
    </xf>
    <xf numFmtId="0" fontId="9" fillId="10" borderId="14" xfId="0" applyFont="1" applyFill="1" applyBorder="1" applyAlignment="1">
      <alignment horizontal="left" vertical="center" wrapText="1"/>
    </xf>
    <xf numFmtId="0" fontId="9" fillId="2" borderId="1" xfId="0" applyFont="1" applyFill="1" applyBorder="1" applyAlignment="1">
      <alignment horizontal="left" vertical="center" wrapText="1"/>
    </xf>
    <xf numFmtId="14" fontId="4" fillId="7" borderId="1" xfId="0" applyNumberFormat="1" applyFont="1" applyFill="1" applyBorder="1" applyAlignment="1" applyProtection="1">
      <alignment horizontal="left" vertical="center" wrapText="1"/>
      <protection locked="0"/>
    </xf>
    <xf numFmtId="0" fontId="4" fillId="2" borderId="1" xfId="0" applyFont="1" applyFill="1" applyBorder="1" applyAlignment="1" applyProtection="1">
      <alignment horizontal="left" vertical="center" wrapText="1"/>
      <protection locked="0"/>
    </xf>
    <xf numFmtId="14" fontId="4" fillId="2" borderId="1" xfId="0" applyNumberFormat="1" applyFont="1" applyFill="1" applyBorder="1" applyAlignment="1" applyProtection="1">
      <alignment horizontal="left" vertical="center" wrapText="1"/>
      <protection locked="0"/>
    </xf>
    <xf numFmtId="166" fontId="4" fillId="7" borderId="2" xfId="0" applyNumberFormat="1" applyFont="1" applyFill="1" applyBorder="1" applyAlignment="1" applyProtection="1">
      <alignment horizontal="left" vertical="center" wrapText="1"/>
      <protection locked="0"/>
    </xf>
    <xf numFmtId="166" fontId="4" fillId="7" borderId="4" xfId="0" applyNumberFormat="1" applyFont="1" applyFill="1" applyBorder="1" applyAlignment="1" applyProtection="1">
      <alignment horizontal="left" vertical="center" wrapText="1"/>
      <protection locked="0"/>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10" borderId="2" xfId="0" applyFont="1" applyFill="1" applyBorder="1" applyAlignment="1">
      <alignment horizontal="left" vertical="center" wrapText="1"/>
    </xf>
    <xf numFmtId="0" fontId="9" fillId="10" borderId="3"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5" fillId="7" borderId="8" xfId="0" applyFont="1" applyFill="1" applyBorder="1" applyAlignment="1">
      <alignment horizontal="center"/>
    </xf>
    <xf numFmtId="0" fontId="5" fillId="7" borderId="0" xfId="0" applyFont="1" applyFill="1" applyAlignment="1">
      <alignment horizontal="center"/>
    </xf>
    <xf numFmtId="0" fontId="8" fillId="7" borderId="1" xfId="0"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5" xfId="0" applyFont="1" applyBorder="1" applyAlignment="1">
      <alignment horizontal="center" wrapText="1"/>
    </xf>
    <xf numFmtId="0" fontId="17" fillId="0" borderId="6" xfId="0" applyFont="1" applyBorder="1" applyAlignment="1">
      <alignment horizontal="center" wrapText="1"/>
    </xf>
    <xf numFmtId="0" fontId="17" fillId="0" borderId="7" xfId="0" applyFont="1" applyBorder="1" applyAlignment="1">
      <alignment horizont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2" xfId="0" applyFont="1" applyBorder="1" applyAlignment="1">
      <alignment horizontal="center" vertic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2" xfId="0" applyBorder="1" applyAlignment="1">
      <alignment horizontal="center" wrapText="1"/>
    </xf>
    <xf numFmtId="0" fontId="10" fillId="2" borderId="2" xfId="0" applyFont="1" applyFill="1" applyBorder="1" applyAlignment="1" applyProtection="1">
      <alignment horizontal="left" vertical="center" wrapText="1"/>
      <protection locked="0"/>
    </xf>
    <xf numFmtId="0" fontId="10" fillId="2" borderId="3" xfId="0" applyFont="1" applyFill="1" applyBorder="1" applyAlignment="1" applyProtection="1">
      <alignment horizontal="left" vertical="center" wrapText="1"/>
      <protection locked="0"/>
    </xf>
    <xf numFmtId="0" fontId="10" fillId="2" borderId="4" xfId="0" applyFont="1" applyFill="1" applyBorder="1" applyAlignment="1" applyProtection="1">
      <alignment horizontal="left" vertical="center" wrapText="1"/>
      <protection locked="0"/>
    </xf>
    <xf numFmtId="0" fontId="10" fillId="10" borderId="3"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36" fillId="0" borderId="1" xfId="2" applyFont="1" applyBorder="1" applyAlignment="1">
      <alignment horizontal="left" vertical="center"/>
    </xf>
    <xf numFmtId="0" fontId="5" fillId="0" borderId="1" xfId="2" applyFont="1" applyBorder="1" applyAlignment="1">
      <alignment horizontal="left" vertical="center"/>
    </xf>
    <xf numFmtId="0" fontId="4" fillId="0" borderId="2" xfId="0" applyFont="1" applyBorder="1" applyAlignment="1">
      <alignment horizontal="left" vertical="center"/>
    </xf>
    <xf numFmtId="167" fontId="4" fillId="0" borderId="1" xfId="2" applyNumberFormat="1" applyFont="1" applyBorder="1" applyAlignment="1">
      <alignment horizontal="left" vertical="center"/>
    </xf>
    <xf numFmtId="0" fontId="4" fillId="2" borderId="2" xfId="2" applyFont="1" applyFill="1" applyBorder="1" applyAlignment="1">
      <alignment horizontal="left" vertical="center"/>
    </xf>
    <xf numFmtId="0" fontId="4" fillId="2" borderId="4" xfId="2" applyFont="1" applyFill="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2" borderId="1" xfId="2" applyFont="1" applyFill="1" applyBorder="1" applyAlignment="1">
      <alignment horizontal="left" vertical="center"/>
    </xf>
    <xf numFmtId="0" fontId="4" fillId="0" borderId="1" xfId="2" applyFont="1" applyBorder="1" applyAlignment="1">
      <alignment horizontal="left" vertical="center"/>
    </xf>
    <xf numFmtId="0" fontId="4" fillId="0" borderId="2" xfId="2" applyFont="1" applyBorder="1" applyAlignment="1">
      <alignment horizontal="center" vertical="center"/>
    </xf>
    <xf numFmtId="0" fontId="4" fillId="0" borderId="4" xfId="2" applyFont="1" applyBorder="1" applyAlignment="1">
      <alignment horizontal="center" vertical="center"/>
    </xf>
    <xf numFmtId="0" fontId="5" fillId="9" borderId="11" xfId="0" applyFont="1" applyFill="1" applyBorder="1" applyAlignment="1">
      <alignment horizontal="center" vertical="center"/>
    </xf>
    <xf numFmtId="0" fontId="4" fillId="9" borderId="11" xfId="0" applyFont="1" applyFill="1" applyBorder="1" applyAlignment="1">
      <alignment horizontal="center" vertical="center"/>
    </xf>
    <xf numFmtId="0" fontId="5"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165" fontId="10" fillId="2" borderId="5" xfId="0" applyNumberFormat="1" applyFont="1" applyFill="1" applyBorder="1" applyAlignment="1">
      <alignment horizontal="left" vertical="center" wrapText="1"/>
    </xf>
    <xf numFmtId="0" fontId="10" fillId="2" borderId="6" xfId="0" applyFont="1" applyFill="1" applyBorder="1" applyAlignment="1">
      <alignment horizontal="left" vertical="center" wrapText="1"/>
    </xf>
    <xf numFmtId="0" fontId="5" fillId="2" borderId="3" xfId="0" applyFont="1" applyFill="1" applyBorder="1" applyAlignment="1">
      <alignment horizontal="left" vertical="center" wrapText="1"/>
    </xf>
    <xf numFmtId="165" fontId="10" fillId="2" borderId="1" xfId="0" applyNumberFormat="1" applyFont="1" applyFill="1" applyBorder="1" applyAlignment="1">
      <alignment horizontal="left" vertical="center" wrapText="1"/>
    </xf>
    <xf numFmtId="14" fontId="10" fillId="2" borderId="1" xfId="0" applyNumberFormat="1" applyFont="1" applyFill="1" applyBorder="1" applyAlignment="1">
      <alignment horizontal="left" vertical="center" wrapText="1"/>
    </xf>
    <xf numFmtId="165" fontId="10" fillId="2" borderId="2" xfId="0" applyNumberFormat="1" applyFont="1" applyFill="1" applyBorder="1" applyAlignment="1">
      <alignment horizontal="center" vertical="center" wrapText="1"/>
    </xf>
    <xf numFmtId="165" fontId="10" fillId="2" borderId="3" xfId="0" applyNumberFormat="1" applyFont="1" applyFill="1" applyBorder="1" applyAlignment="1">
      <alignment horizontal="center" vertical="center" wrapText="1"/>
    </xf>
    <xf numFmtId="165" fontId="10" fillId="2" borderId="4"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4" fillId="2" borderId="14"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8" fillId="2" borderId="1"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7" borderId="3" xfId="0" applyFont="1" applyFill="1" applyBorder="1" applyAlignment="1" applyProtection="1">
      <alignment horizontal="left" vertical="center" wrapText="1"/>
      <protection locked="0"/>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5" fillId="7" borderId="3" xfId="0" applyFont="1" applyFill="1" applyBorder="1" applyAlignment="1">
      <alignment horizontal="left" vertical="center" wrapText="1"/>
    </xf>
    <xf numFmtId="0" fontId="5" fillId="7" borderId="4" xfId="0" applyFont="1" applyFill="1" applyBorder="1" applyAlignment="1">
      <alignment horizontal="left" vertical="center" wrapText="1"/>
    </xf>
    <xf numFmtId="0" fontId="8" fillId="19"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49" fontId="4" fillId="7" borderId="1" xfId="0" applyNumberFormat="1" applyFont="1" applyFill="1" applyBorder="1" applyAlignment="1" applyProtection="1">
      <alignment horizontal="left" vertical="center" wrapText="1"/>
      <protection locked="0"/>
    </xf>
    <xf numFmtId="49" fontId="4" fillId="7" borderId="2" xfId="0" applyNumberFormat="1" applyFont="1" applyFill="1" applyBorder="1" applyAlignment="1" applyProtection="1">
      <alignment horizontal="left" vertical="center" wrapText="1"/>
      <protection locked="0"/>
    </xf>
    <xf numFmtId="49" fontId="4" fillId="7" borderId="4" xfId="0" applyNumberFormat="1" applyFont="1" applyFill="1" applyBorder="1" applyAlignment="1" applyProtection="1">
      <alignment horizontal="left" vertical="center" wrapText="1"/>
      <protection locked="0"/>
    </xf>
    <xf numFmtId="49" fontId="5" fillId="7" borderId="1" xfId="0" applyNumberFormat="1" applyFont="1" applyFill="1" applyBorder="1" applyAlignment="1" applyProtection="1">
      <alignment horizontal="left" vertical="center" wrapText="1"/>
      <protection locked="0"/>
    </xf>
    <xf numFmtId="0" fontId="5" fillId="7" borderId="1" xfId="0" applyFont="1" applyFill="1" applyBorder="1" applyAlignment="1">
      <alignment horizontal="center" vertical="center" wrapText="1"/>
    </xf>
    <xf numFmtId="0" fontId="5" fillId="2" borderId="0" xfId="0" applyFont="1" applyFill="1" applyAlignment="1">
      <alignment horizontal="left" vertical="center"/>
    </xf>
    <xf numFmtId="0" fontId="8" fillId="19" borderId="13" xfId="0" applyFont="1" applyFill="1" applyBorder="1" applyAlignment="1">
      <alignment horizontal="center" vertical="center" wrapText="1"/>
    </xf>
    <xf numFmtId="0" fontId="8" fillId="19" borderId="1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19" borderId="1" xfId="0" applyFont="1" applyFill="1" applyBorder="1" applyAlignment="1">
      <alignment horizontal="center" vertical="center" wrapText="1"/>
    </xf>
    <xf numFmtId="0" fontId="8" fillId="19" borderId="6" xfId="0" applyFont="1" applyFill="1" applyBorder="1" applyAlignment="1">
      <alignment horizontal="center" vertical="center" wrapText="1"/>
    </xf>
    <xf numFmtId="0" fontId="8" fillId="19" borderId="7" xfId="0" applyFont="1" applyFill="1" applyBorder="1" applyAlignment="1">
      <alignment horizontal="center" vertical="center" wrapText="1"/>
    </xf>
    <xf numFmtId="0" fontId="8" fillId="19" borderId="0" xfId="0" applyFont="1" applyFill="1" applyAlignment="1">
      <alignment horizontal="center" vertical="center" wrapText="1"/>
    </xf>
    <xf numFmtId="0" fontId="8" fillId="19" borderId="9" xfId="0" applyFont="1" applyFill="1" applyBorder="1" applyAlignment="1">
      <alignment horizontal="center" vertical="center" wrapText="1"/>
    </xf>
    <xf numFmtId="0" fontId="8" fillId="19" borderId="5" xfId="0" applyFont="1" applyFill="1" applyBorder="1" applyAlignment="1">
      <alignment horizontal="center" vertical="center" wrapText="1"/>
    </xf>
    <xf numFmtId="0" fontId="8" fillId="19" borderId="10" xfId="0" applyFont="1" applyFill="1" applyBorder="1" applyAlignment="1">
      <alignment horizontal="center" vertical="center" wrapText="1"/>
    </xf>
    <xf numFmtId="0" fontId="8" fillId="19" borderId="11" xfId="0" applyFont="1" applyFill="1" applyBorder="1" applyAlignment="1">
      <alignment horizontal="center" vertical="center" wrapText="1"/>
    </xf>
    <xf numFmtId="0" fontId="8" fillId="19" borderId="12"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3" xfId="0" applyFont="1" applyFill="1" applyBorder="1" applyAlignment="1">
      <alignment horizontal="center" vertical="center" wrapText="1"/>
    </xf>
    <xf numFmtId="166" fontId="4" fillId="7" borderId="1" xfId="0" applyNumberFormat="1" applyFont="1" applyFill="1" applyBorder="1" applyAlignment="1">
      <alignment horizontal="left" vertical="center" wrapText="1"/>
    </xf>
    <xf numFmtId="166" fontId="4" fillId="7" borderId="3" xfId="0" applyNumberFormat="1" applyFont="1" applyFill="1" applyBorder="1" applyAlignment="1">
      <alignment horizontal="left" vertical="center" wrapText="1"/>
    </xf>
    <xf numFmtId="165" fontId="5" fillId="2" borderId="2" xfId="0" applyNumberFormat="1" applyFont="1" applyFill="1" applyBorder="1" applyAlignment="1">
      <alignment horizontal="left" vertical="center" wrapText="1"/>
    </xf>
    <xf numFmtId="165" fontId="5" fillId="2" borderId="3" xfId="0" applyNumberFormat="1" applyFont="1" applyFill="1" applyBorder="1" applyAlignment="1">
      <alignment horizontal="left" vertical="center" wrapText="1"/>
    </xf>
    <xf numFmtId="165" fontId="5" fillId="2" borderId="4" xfId="0" applyNumberFormat="1" applyFont="1" applyFill="1" applyBorder="1" applyAlignment="1">
      <alignment horizontal="left" vertical="center" wrapText="1"/>
    </xf>
    <xf numFmtId="165" fontId="4" fillId="7" borderId="10" xfId="0" applyNumberFormat="1" applyFont="1" applyFill="1" applyBorder="1" applyAlignment="1">
      <alignment horizontal="left" vertical="center" wrapText="1"/>
    </xf>
    <xf numFmtId="165" fontId="4" fillId="7" borderId="11" xfId="0" applyNumberFormat="1" applyFont="1" applyFill="1" applyBorder="1" applyAlignment="1">
      <alignment horizontal="left" vertical="center" wrapText="1"/>
    </xf>
    <xf numFmtId="165" fontId="4" fillId="7" borderId="3" xfId="0" applyNumberFormat="1" applyFont="1" applyFill="1" applyBorder="1" applyAlignment="1">
      <alignment horizontal="left" vertical="center" wrapText="1"/>
    </xf>
    <xf numFmtId="165" fontId="4" fillId="7" borderId="12" xfId="0" applyNumberFormat="1" applyFont="1" applyFill="1" applyBorder="1" applyAlignment="1">
      <alignment horizontal="left" vertical="center" wrapText="1"/>
    </xf>
    <xf numFmtId="0" fontId="5" fillId="18" borderId="1" xfId="0" applyFont="1" applyFill="1" applyBorder="1" applyAlignment="1">
      <alignment horizontal="left" vertical="center"/>
    </xf>
    <xf numFmtId="0" fontId="5" fillId="2" borderId="1" xfId="0" applyFont="1" applyFill="1" applyBorder="1" applyAlignment="1">
      <alignment horizontal="left" vertical="center"/>
    </xf>
    <xf numFmtId="0" fontId="5" fillId="7" borderId="1" xfId="0" applyFont="1" applyFill="1" applyBorder="1" applyAlignment="1">
      <alignment horizontal="left" vertical="center"/>
    </xf>
    <xf numFmtId="0" fontId="4" fillId="7" borderId="1" xfId="0" applyFont="1" applyFill="1" applyBorder="1" applyAlignment="1" applyProtection="1">
      <alignment horizontal="left" vertical="center"/>
      <protection locked="0"/>
    </xf>
    <xf numFmtId="0" fontId="4" fillId="7" borderId="3" xfId="0" applyFont="1" applyFill="1" applyBorder="1" applyAlignment="1" applyProtection="1">
      <alignment horizontal="left" vertical="center"/>
      <protection locked="0"/>
    </xf>
    <xf numFmtId="0" fontId="4" fillId="7" borderId="4" xfId="0" applyFont="1" applyFill="1" applyBorder="1" applyAlignment="1" applyProtection="1">
      <alignment horizontal="left" vertical="center"/>
      <protection locked="0"/>
    </xf>
    <xf numFmtId="0" fontId="36" fillId="17" borderId="2" xfId="0" applyFont="1" applyFill="1" applyBorder="1" applyAlignment="1">
      <alignment horizontal="center" vertical="center" wrapText="1"/>
    </xf>
    <xf numFmtId="0" fontId="36" fillId="17" borderId="3" xfId="0" applyFont="1" applyFill="1" applyBorder="1" applyAlignment="1">
      <alignment horizontal="center" vertical="center" wrapText="1"/>
    </xf>
    <xf numFmtId="0" fontId="36" fillId="0" borderId="1" xfId="0" applyFont="1" applyBorder="1" applyAlignment="1">
      <alignment horizontal="center" vertical="center" wrapText="1"/>
    </xf>
    <xf numFmtId="0" fontId="41" fillId="20" borderId="1" xfId="0" applyFont="1" applyFill="1" applyBorder="1" applyAlignment="1">
      <alignment horizontal="center" vertical="center"/>
    </xf>
    <xf numFmtId="0" fontId="42" fillId="21" borderId="1" xfId="0" applyFont="1" applyFill="1" applyBorder="1" applyAlignment="1">
      <alignment horizontal="center" vertical="center"/>
    </xf>
    <xf numFmtId="0" fontId="33" fillId="20" borderId="1" xfId="0" applyFont="1" applyFill="1" applyBorder="1" applyAlignment="1">
      <alignment horizontal="left" vertical="center"/>
    </xf>
    <xf numFmtId="0" fontId="34" fillId="0" borderId="1" xfId="0" applyFont="1" applyBorder="1" applyAlignment="1">
      <alignment vertical="center" wrapText="1"/>
    </xf>
    <xf numFmtId="0" fontId="32" fillId="21" borderId="1" xfId="0" applyFont="1" applyFill="1" applyBorder="1" applyAlignment="1">
      <alignment horizontal="center" vertical="center" wrapText="1"/>
    </xf>
    <xf numFmtId="0" fontId="32" fillId="16" borderId="1" xfId="0" applyFont="1" applyFill="1" applyBorder="1" applyAlignment="1">
      <alignment vertical="center" wrapText="1"/>
    </xf>
    <xf numFmtId="0" fontId="32" fillId="20" borderId="1" xfId="0" applyFont="1" applyFill="1" applyBorder="1" applyAlignment="1">
      <alignment horizontal="center"/>
    </xf>
    <xf numFmtId="0" fontId="32" fillId="21" borderId="2" xfId="0" applyFont="1" applyFill="1" applyBorder="1" applyAlignment="1">
      <alignment horizontal="center" vertical="center" wrapText="1"/>
    </xf>
    <xf numFmtId="0" fontId="32" fillId="21" borderId="4" xfId="0" applyFont="1" applyFill="1" applyBorder="1" applyAlignment="1">
      <alignment horizontal="center" vertical="center" wrapText="1"/>
    </xf>
    <xf numFmtId="0" fontId="32" fillId="21" borderId="3" xfId="0" applyFont="1" applyFill="1" applyBorder="1" applyAlignment="1">
      <alignment horizontal="center" vertical="center" wrapText="1"/>
    </xf>
    <xf numFmtId="0" fontId="32" fillId="21" borderId="1" xfId="0" applyFont="1" applyFill="1" applyBorder="1" applyAlignment="1">
      <alignment vertical="center" wrapText="1"/>
    </xf>
    <xf numFmtId="0" fontId="32" fillId="21" borderId="2" xfId="0" applyFont="1" applyFill="1" applyBorder="1" applyAlignment="1">
      <alignment horizontal="center" wrapText="1"/>
    </xf>
    <xf numFmtId="0" fontId="32" fillId="21" borderId="4" xfId="0" applyFont="1" applyFill="1" applyBorder="1" applyAlignment="1">
      <alignment horizontal="center" wrapText="1"/>
    </xf>
    <xf numFmtId="0" fontId="34" fillId="2" borderId="2" xfId="0" applyFont="1" applyFill="1" applyBorder="1" applyAlignment="1">
      <alignment horizontal="center" vertical="center" wrapText="1"/>
    </xf>
    <xf numFmtId="0" fontId="34" fillId="2" borderId="4" xfId="0" applyFont="1" applyFill="1" applyBorder="1" applyAlignment="1">
      <alignment horizontal="center" vertical="center" wrapText="1"/>
    </xf>
    <xf numFmtId="0" fontId="34" fillId="2" borderId="3"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0" borderId="2" xfId="0" applyFont="1" applyBorder="1" applyAlignment="1">
      <alignment horizontal="center"/>
    </xf>
    <xf numFmtId="0" fontId="34" fillId="0" borderId="4" xfId="0" applyFont="1" applyBorder="1" applyAlignment="1">
      <alignment horizontal="center"/>
    </xf>
    <xf numFmtId="0" fontId="34" fillId="0" borderId="1" xfId="0" applyFont="1" applyBorder="1" applyAlignment="1">
      <alignment horizontal="center"/>
    </xf>
    <xf numFmtId="0" fontId="32" fillId="21" borderId="1" xfId="0" applyFont="1" applyFill="1" applyBorder="1"/>
    <xf numFmtId="0" fontId="32" fillId="20" borderId="1" xfId="0" applyFont="1" applyFill="1" applyBorder="1" applyAlignment="1">
      <alignment horizontal="left"/>
    </xf>
    <xf numFmtId="0" fontId="34" fillId="0" borderId="2" xfId="0" applyFont="1" applyBorder="1" applyAlignment="1">
      <alignment horizontal="center" wrapText="1"/>
    </xf>
    <xf numFmtId="0" fontId="34" fillId="0" borderId="3" xfId="0" applyFont="1" applyBorder="1" applyAlignment="1">
      <alignment horizontal="center" wrapText="1"/>
    </xf>
    <xf numFmtId="0" fontId="34" fillId="0" borderId="4" xfId="0" applyFont="1" applyBorder="1" applyAlignment="1">
      <alignment horizontal="center" wrapText="1"/>
    </xf>
    <xf numFmtId="0" fontId="32" fillId="20" borderId="1" xfId="0" applyFont="1" applyFill="1" applyBorder="1"/>
    <xf numFmtId="0" fontId="34" fillId="0" borderId="2" xfId="0" applyFont="1" applyBorder="1" applyAlignment="1">
      <alignment horizontal="center" vertical="center" wrapText="1"/>
    </xf>
    <xf numFmtId="0" fontId="34" fillId="0" borderId="4" xfId="0" applyFont="1" applyBorder="1" applyAlignment="1">
      <alignment horizontal="center" vertical="center" wrapText="1"/>
    </xf>
    <xf numFmtId="0" fontId="34" fillId="0" borderId="3" xfId="0" applyFont="1" applyBorder="1" applyAlignment="1">
      <alignment horizontal="center" vertical="center" wrapText="1"/>
    </xf>
    <xf numFmtId="9" fontId="34" fillId="0" borderId="2" xfId="0" applyNumberFormat="1" applyFont="1" applyBorder="1" applyAlignment="1">
      <alignment horizontal="center" vertical="center" wrapText="1"/>
    </xf>
    <xf numFmtId="9" fontId="34" fillId="0" borderId="4" xfId="0" applyNumberFormat="1" applyFont="1" applyBorder="1" applyAlignment="1">
      <alignment horizontal="center" vertical="center" wrapText="1"/>
    </xf>
    <xf numFmtId="0" fontId="32" fillId="21" borderId="1" xfId="0" applyFont="1" applyFill="1" applyBorder="1" applyAlignment="1">
      <alignment horizontal="center" wrapText="1"/>
    </xf>
    <xf numFmtId="0" fontId="34" fillId="0" borderId="1" xfId="0" applyFont="1" applyBorder="1" applyAlignment="1">
      <alignment horizontal="center" vertical="top" wrapText="1"/>
    </xf>
    <xf numFmtId="0" fontId="34" fillId="0" borderId="8" xfId="0" applyFont="1" applyBorder="1" applyAlignment="1">
      <alignment horizontal="center"/>
    </xf>
    <xf numFmtId="0" fontId="34" fillId="0" borderId="0" xfId="0" applyFont="1" applyAlignment="1">
      <alignment horizontal="center"/>
    </xf>
    <xf numFmtId="0" fontId="34" fillId="0" borderId="2" xfId="0" applyFont="1" applyBorder="1" applyAlignment="1">
      <alignment horizontal="center" vertical="top" wrapText="1"/>
    </xf>
    <xf numFmtId="0" fontId="34" fillId="0" borderId="4" xfId="0" applyFont="1" applyBorder="1" applyAlignment="1">
      <alignment horizontal="center" vertical="top" wrapText="1"/>
    </xf>
    <xf numFmtId="0" fontId="34" fillId="14" borderId="2" xfId="0" applyFont="1" applyFill="1" applyBorder="1" applyAlignment="1">
      <alignment horizontal="center" vertical="top" wrapText="1"/>
    </xf>
    <xf numFmtId="0" fontId="34" fillId="14" borderId="3" xfId="0" applyFont="1" applyFill="1" applyBorder="1" applyAlignment="1">
      <alignment horizontal="center" vertical="top" wrapText="1"/>
    </xf>
    <xf numFmtId="0" fontId="34" fillId="14" borderId="4" xfId="0" applyFont="1" applyFill="1" applyBorder="1" applyAlignment="1">
      <alignment horizontal="center" vertical="top" wrapText="1"/>
    </xf>
    <xf numFmtId="0" fontId="36" fillId="0" borderId="6" xfId="0" applyFont="1" applyBorder="1" applyAlignment="1">
      <alignment horizontal="left" vertical="center"/>
    </xf>
    <xf numFmtId="0" fontId="33" fillId="15" borderId="1" xfId="0" applyFont="1" applyFill="1" applyBorder="1" applyAlignment="1">
      <alignment horizontal="center" vertical="center" wrapText="1"/>
    </xf>
    <xf numFmtId="0" fontId="34" fillId="2" borderId="1" xfId="0" applyFont="1" applyFill="1" applyBorder="1" applyAlignment="1">
      <alignment vertical="top" wrapText="1"/>
    </xf>
    <xf numFmtId="0" fontId="34" fillId="0" borderId="1" xfId="0" applyFont="1" applyBorder="1" applyAlignment="1">
      <alignment vertical="top" wrapText="1"/>
    </xf>
    <xf numFmtId="0" fontId="34" fillId="14" borderId="1" xfId="0" applyFont="1" applyFill="1" applyBorder="1" applyAlignment="1">
      <alignment horizontal="center" vertical="top" wrapText="1"/>
    </xf>
    <xf numFmtId="0" fontId="5" fillId="0" borderId="3" xfId="0" applyFont="1" applyBorder="1" applyAlignment="1">
      <alignment horizontal="left" vertical="center"/>
    </xf>
    <xf numFmtId="0" fontId="5" fillId="3" borderId="1"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5" fillId="0" borderId="2" xfId="0" applyNumberFormat="1" applyFont="1" applyBorder="1" applyAlignment="1">
      <alignment horizontal="left" vertical="center" wrapText="1"/>
    </xf>
    <xf numFmtId="14" fontId="5" fillId="0" borderId="3" xfId="0" applyNumberFormat="1" applyFont="1" applyBorder="1" applyAlignment="1">
      <alignment horizontal="left" vertical="center" wrapText="1"/>
    </xf>
    <xf numFmtId="14" fontId="5" fillId="0" borderId="4" xfId="0" applyNumberFormat="1" applyFont="1" applyBorder="1" applyAlignment="1">
      <alignment horizontal="left" vertical="center" wrapText="1"/>
    </xf>
    <xf numFmtId="14" fontId="5" fillId="0" borderId="1" xfId="0" applyNumberFormat="1"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15"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9" fillId="2" borderId="2" xfId="0" applyFont="1" applyFill="1" applyBorder="1" applyAlignment="1">
      <alignment horizontal="left" vertical="center" wrapText="1"/>
    </xf>
    <xf numFmtId="0" fontId="36" fillId="19" borderId="1" xfId="0" applyFont="1" applyFill="1" applyBorder="1" applyAlignment="1">
      <alignment horizontal="center" vertical="center" wrapText="1"/>
    </xf>
    <xf numFmtId="0" fontId="32" fillId="19" borderId="6" xfId="0" applyFont="1" applyFill="1" applyBorder="1" applyAlignment="1">
      <alignment horizontal="center" vertical="center" wrapText="1"/>
    </xf>
    <xf numFmtId="0" fontId="32" fillId="19" borderId="7" xfId="0" applyFont="1" applyFill="1" applyBorder="1" applyAlignment="1">
      <alignment horizontal="center" vertical="center" wrapText="1"/>
    </xf>
    <xf numFmtId="0" fontId="32" fillId="19" borderId="0" xfId="0" applyFont="1" applyFill="1" applyAlignment="1">
      <alignment horizontal="center" vertical="center" wrapText="1"/>
    </xf>
    <xf numFmtId="0" fontId="32" fillId="19" borderId="9" xfId="0" applyFont="1" applyFill="1" applyBorder="1" applyAlignment="1">
      <alignment horizontal="center" vertical="center" wrapText="1"/>
    </xf>
    <xf numFmtId="0" fontId="32" fillId="19" borderId="1" xfId="0" applyFont="1" applyFill="1" applyBorder="1" applyAlignment="1">
      <alignment horizontal="center" vertical="center" wrapText="1"/>
    </xf>
    <xf numFmtId="0" fontId="32" fillId="19" borderId="13" xfId="0" applyFont="1" applyFill="1" applyBorder="1" applyAlignment="1">
      <alignment horizontal="center" vertical="center" wrapText="1"/>
    </xf>
    <xf numFmtId="0" fontId="32" fillId="19" borderId="14" xfId="0" applyFont="1" applyFill="1" applyBorder="1" applyAlignment="1">
      <alignment horizontal="center" vertical="center" wrapText="1"/>
    </xf>
    <xf numFmtId="0" fontId="32" fillId="19" borderId="5" xfId="0" applyFont="1" applyFill="1" applyBorder="1" applyAlignment="1">
      <alignment horizontal="center" vertical="center" wrapText="1"/>
    </xf>
    <xf numFmtId="0" fontId="32" fillId="19" borderId="10" xfId="0" applyFont="1" applyFill="1" applyBorder="1" applyAlignment="1">
      <alignment horizontal="center" vertical="center" wrapText="1"/>
    </xf>
    <xf numFmtId="0" fontId="32" fillId="19" borderId="11" xfId="0" applyFont="1" applyFill="1" applyBorder="1" applyAlignment="1">
      <alignment horizontal="center" vertical="center" wrapText="1"/>
    </xf>
    <xf numFmtId="0" fontId="32" fillId="19" borderId="12"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1" fillId="7" borderId="2" xfId="0" applyFont="1" applyFill="1" applyBorder="1" applyAlignment="1">
      <alignment horizontal="left" vertical="center" wrapText="1"/>
    </xf>
    <xf numFmtId="49" fontId="1" fillId="7" borderId="1" xfId="0" applyNumberFormat="1" applyFont="1" applyFill="1" applyBorder="1" applyAlignment="1" applyProtection="1">
      <alignment horizontal="left" vertical="center" wrapText="1"/>
      <protection locked="0"/>
    </xf>
    <xf numFmtId="49" fontId="1" fillId="7" borderId="2" xfId="0" applyNumberFormat="1" applyFont="1" applyFill="1" applyBorder="1" applyAlignment="1" applyProtection="1">
      <alignment horizontal="left" vertical="center" wrapText="1"/>
      <protection locked="0"/>
    </xf>
    <xf numFmtId="49" fontId="1" fillId="7" borderId="4" xfId="0" applyNumberFormat="1" applyFont="1" applyFill="1" applyBorder="1" applyAlignment="1" applyProtection="1">
      <alignment horizontal="left" vertical="center" wrapText="1"/>
      <protection locked="0"/>
    </xf>
    <xf numFmtId="0" fontId="36" fillId="7" borderId="2"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36" fillId="7" borderId="4" xfId="0" applyFont="1" applyFill="1" applyBorder="1" applyAlignment="1">
      <alignment horizontal="center" vertical="center" wrapText="1"/>
    </xf>
    <xf numFmtId="49" fontId="36" fillId="7" borderId="1" xfId="0" applyNumberFormat="1" applyFont="1" applyFill="1" applyBorder="1" applyAlignment="1" applyProtection="1">
      <alignment horizontal="left" vertical="center" wrapText="1"/>
      <protection locked="0"/>
    </xf>
    <xf numFmtId="49" fontId="5" fillId="2" borderId="0" xfId="0" applyNumberFormat="1" applyFont="1" applyFill="1" applyAlignment="1" applyProtection="1">
      <alignment horizontal="left" vertical="center" wrapText="1"/>
      <protection locked="0"/>
    </xf>
    <xf numFmtId="49" fontId="8" fillId="7" borderId="1" xfId="0" applyNumberFormat="1" applyFont="1" applyFill="1" applyBorder="1" applyAlignment="1" applyProtection="1">
      <alignment horizontal="left" vertical="center" wrapText="1"/>
      <protection locked="0"/>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7" borderId="3" xfId="0" applyFont="1" applyFill="1" applyBorder="1" applyAlignment="1">
      <alignment horizontal="left" vertical="center"/>
    </xf>
    <xf numFmtId="0" fontId="5" fillId="7" borderId="4" xfId="0" applyFont="1" applyFill="1" applyBorder="1" applyAlignment="1">
      <alignment horizontal="left"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38" fillId="11" borderId="1" xfId="0" applyFont="1" applyFill="1" applyBorder="1" applyAlignment="1">
      <alignment horizontal="center" vertical="center"/>
    </xf>
    <xf numFmtId="0" fontId="38" fillId="11" borderId="20" xfId="0" applyFont="1" applyFill="1" applyBorder="1" applyAlignment="1">
      <alignment horizontal="center" vertical="center"/>
    </xf>
    <xf numFmtId="0" fontId="39" fillId="12" borderId="1" xfId="0" applyFont="1" applyFill="1" applyBorder="1" applyAlignment="1">
      <alignment horizontal="center" vertical="center"/>
    </xf>
    <xf numFmtId="0" fontId="39" fillId="12" borderId="20" xfId="0" applyFont="1" applyFill="1" applyBorder="1" applyAlignment="1">
      <alignment horizontal="center" vertical="center"/>
    </xf>
    <xf numFmtId="0" fontId="33" fillId="13" borderId="1" xfId="0" applyFont="1" applyFill="1" applyBorder="1" applyAlignment="1">
      <alignment horizontal="left" vertical="center"/>
    </xf>
    <xf numFmtId="0" fontId="33" fillId="13" borderId="20" xfId="0" applyFont="1" applyFill="1" applyBorder="1" applyAlignment="1">
      <alignment horizontal="left" vertical="center"/>
    </xf>
    <xf numFmtId="0" fontId="40" fillId="10" borderId="1" xfId="0" applyFont="1" applyFill="1" applyBorder="1" applyAlignment="1">
      <alignment vertical="top" wrapText="1"/>
    </xf>
    <xf numFmtId="0" fontId="40" fillId="14" borderId="1" xfId="0" applyFont="1" applyFill="1" applyBorder="1" applyAlignment="1">
      <alignment horizontal="center" vertical="top" wrapText="1"/>
    </xf>
    <xf numFmtId="0" fontId="40" fillId="14" borderId="1" xfId="0" applyFont="1" applyFill="1" applyBorder="1" applyAlignment="1">
      <alignment vertical="top" wrapText="1"/>
    </xf>
    <xf numFmtId="0" fontId="40" fillId="14" borderId="20" xfId="0" applyFont="1" applyFill="1" applyBorder="1" applyAlignment="1">
      <alignment vertical="top" wrapText="1"/>
    </xf>
    <xf numFmtId="0" fontId="40" fillId="2" borderId="0" xfId="0" applyFont="1" applyFill="1" applyAlignment="1">
      <alignment vertical="top" wrapText="1"/>
    </xf>
    <xf numFmtId="0" fontId="33" fillId="13" borderId="2" xfId="0" applyFont="1" applyFill="1" applyBorder="1" applyAlignment="1">
      <alignment horizontal="center" vertical="center"/>
    </xf>
    <xf numFmtId="0" fontId="33" fillId="13" borderId="3" xfId="0" applyFont="1" applyFill="1" applyBorder="1" applyAlignment="1">
      <alignment horizontal="center" vertical="center"/>
    </xf>
    <xf numFmtId="0" fontId="33" fillId="13" borderId="4" xfId="0" applyFont="1" applyFill="1" applyBorder="1" applyAlignment="1">
      <alignment horizontal="center" vertical="center"/>
    </xf>
    <xf numFmtId="0" fontId="40" fillId="14" borderId="21" xfId="0" applyFont="1" applyFill="1" applyBorder="1" applyAlignment="1">
      <alignment horizontal="center" vertical="top" wrapText="1"/>
    </xf>
    <xf numFmtId="0" fontId="34" fillId="0" borderId="22" xfId="0" applyFont="1" applyBorder="1" applyAlignment="1">
      <alignment horizontal="center"/>
    </xf>
    <xf numFmtId="0" fontId="34" fillId="0" borderId="23" xfId="0" applyFont="1" applyBorder="1" applyAlignment="1">
      <alignment horizontal="center"/>
    </xf>
    <xf numFmtId="0" fontId="34" fillId="0" borderId="24" xfId="0" applyFont="1" applyBorder="1" applyAlignment="1">
      <alignment horizontal="center"/>
    </xf>
    <xf numFmtId="0" fontId="40" fillId="10" borderId="25" xfId="0" applyFont="1" applyFill="1" applyBorder="1" applyAlignment="1">
      <alignment vertical="top" wrapText="1"/>
    </xf>
    <xf numFmtId="0" fontId="40" fillId="2" borderId="26" xfId="0" applyFont="1" applyFill="1" applyBorder="1" applyAlignment="1">
      <alignment vertical="top" wrapText="1"/>
    </xf>
    <xf numFmtId="0" fontId="40" fillId="2" borderId="27" xfId="0" applyFont="1" applyFill="1" applyBorder="1" applyAlignment="1">
      <alignment vertical="top" wrapText="1"/>
    </xf>
    <xf numFmtId="0" fontId="40" fillId="2" borderId="28" xfId="0" applyFont="1" applyFill="1" applyBorder="1" applyAlignment="1">
      <alignment vertical="top" wrapText="1"/>
    </xf>
    <xf numFmtId="0" fontId="40" fillId="10" borderId="29" xfId="0" applyFont="1" applyFill="1" applyBorder="1" applyAlignment="1">
      <alignment vertical="top" wrapText="1"/>
    </xf>
    <xf numFmtId="0" fontId="40" fillId="10" borderId="20" xfId="0" applyFont="1" applyFill="1" applyBorder="1" applyAlignment="1">
      <alignment vertical="top" wrapText="1"/>
    </xf>
    <xf numFmtId="0" fontId="40" fillId="10" borderId="29" xfId="0" applyFont="1" applyFill="1" applyBorder="1" applyAlignment="1">
      <alignment horizontal="center" vertical="top" wrapText="1"/>
    </xf>
    <xf numFmtId="0" fontId="40" fillId="10" borderId="1" xfId="0" applyFont="1" applyFill="1" applyBorder="1" applyAlignment="1">
      <alignment horizontal="center" vertical="top" wrapText="1"/>
    </xf>
    <xf numFmtId="0" fontId="40" fillId="10" borderId="20" xfId="0" applyFont="1" applyFill="1" applyBorder="1" applyAlignment="1">
      <alignment horizontal="center" vertical="top" wrapText="1"/>
    </xf>
    <xf numFmtId="0" fontId="40" fillId="2" borderId="0" xfId="0" applyFont="1" applyFill="1" applyAlignment="1">
      <alignment horizontal="center" vertical="top" wrapText="1"/>
    </xf>
    <xf numFmtId="0" fontId="33" fillId="13" borderId="1" xfId="0" applyFont="1" applyFill="1" applyBorder="1" applyAlignment="1">
      <alignment horizontal="center" vertical="center"/>
    </xf>
    <xf numFmtId="0" fontId="33" fillId="13" borderId="20" xfId="0" applyFont="1" applyFill="1" applyBorder="1" applyAlignment="1">
      <alignment horizontal="center" vertical="center"/>
    </xf>
    <xf numFmtId="0" fontId="40" fillId="14" borderId="20" xfId="0" applyFont="1" applyFill="1" applyBorder="1" applyAlignment="1">
      <alignment horizontal="center" vertical="top" wrapText="1"/>
    </xf>
    <xf numFmtId="0" fontId="40" fillId="14" borderId="1"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34" fillId="2" borderId="5" xfId="0" applyFont="1" applyFill="1" applyBorder="1" applyAlignment="1">
      <alignment horizontal="center"/>
    </xf>
    <xf numFmtId="0" fontId="34" fillId="2" borderId="6" xfId="0" applyFont="1" applyFill="1" applyBorder="1" applyAlignment="1">
      <alignment horizontal="center"/>
    </xf>
    <xf numFmtId="0" fontId="34" fillId="2" borderId="30" xfId="0" applyFont="1" applyFill="1" applyBorder="1" applyAlignment="1">
      <alignment horizontal="center"/>
    </xf>
    <xf numFmtId="0" fontId="33" fillId="13" borderId="1" xfId="0" applyFont="1" applyFill="1" applyBorder="1" applyAlignment="1">
      <alignment vertical="center"/>
    </xf>
    <xf numFmtId="0" fontId="33" fillId="15" borderId="2" xfId="0" applyFont="1" applyFill="1" applyBorder="1" applyAlignment="1">
      <alignment horizontal="center" vertical="center" wrapText="1"/>
    </xf>
    <xf numFmtId="0" fontId="33" fillId="15" borderId="3" xfId="0" applyFont="1" applyFill="1" applyBorder="1" applyAlignment="1">
      <alignment horizontal="center" vertical="center" wrapText="1"/>
    </xf>
    <xf numFmtId="0" fontId="33" fillId="15" borderId="4" xfId="0" applyFont="1" applyFill="1" applyBorder="1" applyAlignment="1">
      <alignment horizontal="center" vertical="center" wrapText="1"/>
    </xf>
    <xf numFmtId="0" fontId="40" fillId="14" borderId="2" xfId="0" applyFont="1" applyFill="1" applyBorder="1" applyAlignment="1">
      <alignment horizontal="center" vertical="top" wrapText="1"/>
    </xf>
    <xf numFmtId="0" fontId="40" fillId="14" borderId="3" xfId="0" applyFont="1" applyFill="1" applyBorder="1" applyAlignment="1">
      <alignment horizontal="center" vertical="top" wrapText="1"/>
    </xf>
    <xf numFmtId="0" fontId="40" fillId="14" borderId="4" xfId="0" applyFont="1" applyFill="1" applyBorder="1" applyAlignment="1">
      <alignment horizontal="center" vertical="top" wrapText="1"/>
    </xf>
    <xf numFmtId="0" fontId="33" fillId="14" borderId="2" xfId="0" applyFont="1" applyFill="1" applyBorder="1" applyAlignment="1">
      <alignment horizontal="center" vertical="top" wrapText="1"/>
    </xf>
    <xf numFmtId="0" fontId="33" fillId="14" borderId="3" xfId="0" applyFont="1" applyFill="1" applyBorder="1" applyAlignment="1">
      <alignment horizontal="center" vertical="top" wrapText="1"/>
    </xf>
    <xf numFmtId="0" fontId="33" fillId="14" borderId="4" xfId="0" applyFont="1" applyFill="1" applyBorder="1" applyAlignment="1">
      <alignment horizontal="center" vertical="top" wrapText="1"/>
    </xf>
    <xf numFmtId="0" fontId="33" fillId="15" borderId="20" xfId="0" applyFont="1" applyFill="1" applyBorder="1" applyAlignment="1">
      <alignment horizontal="center" vertical="center" wrapText="1"/>
    </xf>
    <xf numFmtId="0" fontId="33" fillId="13" borderId="20" xfId="0" applyFont="1" applyFill="1" applyBorder="1" applyAlignment="1">
      <alignment vertical="center"/>
    </xf>
    <xf numFmtId="0" fontId="5" fillId="4" borderId="11" xfId="0" applyFont="1" applyFill="1" applyBorder="1" applyAlignment="1">
      <alignment horizontal="center"/>
    </xf>
    <xf numFmtId="165" fontId="4" fillId="2" borderId="2" xfId="0" applyNumberFormat="1" applyFont="1" applyFill="1" applyBorder="1" applyAlignment="1">
      <alignment horizontal="left" vertical="center" wrapText="1"/>
    </xf>
    <xf numFmtId="165" fontId="4" fillId="2" borderId="3" xfId="0" applyNumberFormat="1" applyFont="1" applyFill="1" applyBorder="1" applyAlignment="1">
      <alignment horizontal="left" vertical="center" wrapText="1"/>
    </xf>
    <xf numFmtId="165" fontId="4" fillId="2" borderId="4" xfId="0" applyNumberFormat="1"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0" borderId="6" xfId="0" applyFont="1" applyBorder="1" applyAlignment="1">
      <alignment horizontal="left"/>
    </xf>
    <xf numFmtId="0" fontId="5" fillId="0" borderId="0" xfId="0" applyFont="1" applyAlignment="1">
      <alignment horizontal="left"/>
    </xf>
    <xf numFmtId="165" fontId="4" fillId="7" borderId="13" xfId="0" applyNumberFormat="1" applyFont="1" applyFill="1" applyBorder="1" applyAlignment="1">
      <alignment horizontal="center" vertical="center" wrapText="1"/>
    </xf>
    <xf numFmtId="165" fontId="4" fillId="7" borderId="19" xfId="0" applyNumberFormat="1" applyFont="1" applyFill="1" applyBorder="1" applyAlignment="1">
      <alignment horizontal="center" vertical="center" wrapText="1"/>
    </xf>
    <xf numFmtId="165" fontId="4" fillId="7" borderId="14" xfId="0" applyNumberFormat="1"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9" fillId="9" borderId="1" xfId="0" applyFont="1" applyFill="1" applyBorder="1" applyAlignment="1">
      <alignment horizontal="left" vertical="center" wrapText="1"/>
    </xf>
    <xf numFmtId="14" fontId="10" fillId="2" borderId="2" xfId="0" applyNumberFormat="1" applyFont="1" applyFill="1" applyBorder="1" applyAlignment="1" applyProtection="1">
      <alignment horizontal="left" vertical="center" wrapText="1"/>
      <protection locked="0"/>
    </xf>
    <xf numFmtId="14" fontId="10" fillId="2" borderId="3" xfId="0" applyNumberFormat="1" applyFont="1" applyFill="1" applyBorder="1" applyAlignment="1" applyProtection="1">
      <alignment horizontal="left" vertical="center" wrapText="1"/>
      <protection locked="0"/>
    </xf>
    <xf numFmtId="14" fontId="10" fillId="2" borderId="4" xfId="0" applyNumberFormat="1" applyFont="1" applyFill="1" applyBorder="1" applyAlignment="1" applyProtection="1">
      <alignment horizontal="left" vertical="center" wrapText="1"/>
      <protection locked="0"/>
    </xf>
    <xf numFmtId="0" fontId="10" fillId="10" borderId="1"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0" fillId="10" borderId="3" xfId="0" applyFont="1" applyFill="1" applyBorder="1" applyAlignment="1">
      <alignment horizontal="left" vertical="center" wrapText="1"/>
    </xf>
    <xf numFmtId="0" fontId="10" fillId="10" borderId="4" xfId="0" applyFont="1" applyFill="1" applyBorder="1" applyAlignment="1">
      <alignment horizontal="left" vertical="center" wrapText="1"/>
    </xf>
    <xf numFmtId="14" fontId="4" fillId="0" borderId="2" xfId="0" applyNumberFormat="1" applyFont="1" applyBorder="1" applyAlignment="1">
      <alignment horizontal="left" vertical="center"/>
    </xf>
    <xf numFmtId="0" fontId="5" fillId="0" borderId="0" xfId="0" applyFont="1" applyAlignment="1" applyProtection="1">
      <alignment horizontal="center" vertical="center"/>
      <protection hidden="1"/>
    </xf>
    <xf numFmtId="0" fontId="4"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165" fontId="4" fillId="0" borderId="16" xfId="0" applyNumberFormat="1" applyFont="1" applyBorder="1" applyAlignment="1">
      <alignment horizontal="center" vertical="center"/>
    </xf>
    <xf numFmtId="165" fontId="4" fillId="0" borderId="17" xfId="0" applyNumberFormat="1" applyFont="1" applyBorder="1" applyAlignment="1">
      <alignment horizontal="center" vertical="center"/>
    </xf>
    <xf numFmtId="165" fontId="4" fillId="0" borderId="18" xfId="0" applyNumberFormat="1"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0" xfId="0" applyFont="1" applyAlignment="1" applyProtection="1">
      <alignment horizontal="center" vertical="center" wrapText="1"/>
      <protection hidden="1"/>
    </xf>
    <xf numFmtId="0" fontId="5" fillId="0" borderId="2" xfId="0" applyFont="1" applyBorder="1" applyAlignment="1">
      <alignment vertical="top"/>
    </xf>
    <xf numFmtId="0" fontId="5" fillId="0" borderId="3" xfId="0" applyFont="1" applyBorder="1" applyAlignment="1">
      <alignment vertical="top"/>
    </xf>
    <xf numFmtId="0" fontId="5" fillId="0" borderId="4" xfId="0" applyFont="1" applyBorder="1" applyAlignment="1">
      <alignment vertical="top"/>
    </xf>
    <xf numFmtId="0" fontId="5" fillId="2" borderId="3"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5" borderId="10" xfId="0" applyFont="1" applyFill="1" applyBorder="1" applyAlignment="1">
      <alignment horizontal="left" vertical="center" wrapText="1"/>
    </xf>
    <xf numFmtId="0" fontId="5" fillId="5" borderId="11" xfId="0" applyFont="1" applyFill="1" applyBorder="1" applyAlignment="1">
      <alignment horizontal="left" vertical="center" wrapText="1"/>
    </xf>
    <xf numFmtId="0" fontId="5" fillId="5" borderId="12" xfId="0" applyFont="1" applyFill="1" applyBorder="1" applyAlignment="1">
      <alignment horizontal="left" vertical="center" wrapText="1"/>
    </xf>
    <xf numFmtId="0" fontId="5" fillId="4" borderId="5"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4" fillId="0" borderId="5" xfId="0" applyFont="1" applyBorder="1" applyAlignment="1">
      <alignment horizontal="left" vertical="center" wrapText="1"/>
    </xf>
  </cellXfs>
  <cellStyles count="4">
    <cellStyle name="Hyperlink" xfId="1" builtinId="8"/>
    <cellStyle name="Normal" xfId="0" builtinId="0"/>
    <cellStyle name="Normal 2" xfId="2" xr:uid="{00000000-0005-0000-0000-000031000000}"/>
    <cellStyle name="Normal 3" xfId="3" xr:uid="{6DA4671A-7BAF-41CE-B3EE-F9BC10A5E798}"/>
  </cellStyles>
  <dxfs count="9">
    <dxf>
      <font>
        <color rgb="FF006100"/>
      </font>
      <fill>
        <patternFill patternType="solid">
          <bgColor rgb="FFE2F0D9"/>
        </patternFill>
      </fill>
    </dxf>
    <dxf>
      <font>
        <color rgb="FF1F4E79"/>
      </font>
      <fill>
        <patternFill patternType="solid">
          <bgColor rgb="FFD9EAF7"/>
        </patternFill>
      </fill>
    </dxf>
    <dxf>
      <font>
        <color rgb="FF7F6000"/>
      </font>
      <fill>
        <patternFill patternType="solid">
          <bgColor rgb="FFFFF2CC"/>
        </patternFill>
      </fill>
    </dxf>
    <dxf>
      <font>
        <color rgb="FF9C0006"/>
      </font>
      <fill>
        <patternFill patternType="solid">
          <bgColor rgb="FFF4CCCC"/>
        </patternFill>
      </fill>
    </dxf>
    <dxf>
      <font>
        <b/>
        <color rgb="FF666666"/>
      </font>
      <fill>
        <patternFill patternType="solid">
          <bgColor rgb="FFD9D9D9"/>
        </patternFill>
      </fill>
    </dxf>
    <dxf>
      <font>
        <b/>
        <color rgb="FF1F4E79"/>
      </font>
      <fill>
        <patternFill patternType="solid">
          <bgColor rgb="FFDDEBF7"/>
        </patternFill>
      </fill>
    </dxf>
    <dxf>
      <font>
        <b/>
        <color rgb="FF9C6500"/>
      </font>
      <fill>
        <patternFill patternType="solid">
          <bgColor rgb="FFFFF2CC"/>
        </patternFill>
      </fill>
    </dxf>
    <dxf>
      <font>
        <b/>
        <color rgb="FF9C0006"/>
      </font>
      <fill>
        <patternFill patternType="solid">
          <bgColor rgb="FFF4CCCC"/>
        </patternFill>
      </fill>
    </dxf>
    <dxf>
      <font>
        <b/>
        <color rgb="FF006100"/>
      </font>
      <fill>
        <patternFill patternType="solid">
          <bgColor rgb="FFE2F0D9"/>
        </patternFill>
      </fill>
    </dxf>
  </dxfs>
  <tableStyles count="0" defaultTableStyle="TableStyleMedium2" defaultPivotStyle="PivotStyleLight16"/>
  <colors>
    <mruColors>
      <color rgb="FFFF48C6"/>
      <color rgb="FF001643"/>
      <color rgb="FFFF704D"/>
      <color rgb="FF460A1B"/>
      <color rgb="FF9615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noThreeD="1"/>
</file>

<file path=xl/ctrlProps/ctrlProp66.xml><?xml version="1.0" encoding="utf-8"?>
<formControlPr xmlns="http://schemas.microsoft.com/office/spreadsheetml/2009/9/main" objectType="CheckBox" noThreeD="1"/>
</file>

<file path=xl/ctrlProps/ctrlProp67.xml><?xml version="1.0" encoding="utf-8"?>
<formControlPr xmlns="http://schemas.microsoft.com/office/spreadsheetml/2009/9/main" objectType="CheckBox" noThreeD="1"/>
</file>

<file path=xl/ctrlProps/ctrlProp68.xml><?xml version="1.0" encoding="utf-8"?>
<formControlPr xmlns="http://schemas.microsoft.com/office/spreadsheetml/2009/9/main" objectType="CheckBox" noThreeD="1"/>
</file>

<file path=xl/ctrlProps/ctrlProp69.xml><?xml version="1.0" encoding="utf-8"?>
<formControlPr xmlns="http://schemas.microsoft.com/office/spreadsheetml/2009/9/main" objectType="CheckBox" noThreeD="1"/>
</file>

<file path=xl/ctrlProps/ctrlProp70.xml><?xml version="1.0" encoding="utf-8"?>
<formControlPr xmlns="http://schemas.microsoft.com/office/spreadsheetml/2009/9/main" objectType="CheckBox" noThreeD="1"/>
</file>

<file path=xl/ctrlProps/ctrlProp71.xml><?xml version="1.0" encoding="utf-8"?>
<formControlPr xmlns="http://schemas.microsoft.com/office/spreadsheetml/2009/9/main" objectType="CheckBox" noThreeD="1"/>
</file>

<file path=xl/ctrlProps/ctrlProp72.xml><?xml version="1.0" encoding="utf-8"?>
<formControlPr xmlns="http://schemas.microsoft.com/office/spreadsheetml/2009/9/main" objectType="CheckBox" noThreeD="1"/>
</file>

<file path=xl/ctrlProps/ctrlProp73.xml><?xml version="1.0" encoding="utf-8"?>
<formControlPr xmlns="http://schemas.microsoft.com/office/spreadsheetml/2009/9/main" objectType="CheckBox" noThreeD="1"/>
</file>

<file path=xl/ctrlProps/ctrlProp74.xml><?xml version="1.0" encoding="utf-8"?>
<formControlPr xmlns="http://schemas.microsoft.com/office/spreadsheetml/2009/9/main" objectType="CheckBox" noThreeD="1"/>
</file>

<file path=xl/ctrlProps/ctrlProp75.xml><?xml version="1.0" encoding="utf-8"?>
<formControlPr xmlns="http://schemas.microsoft.com/office/spreadsheetml/2009/9/main" objectType="CheckBox" noThreeD="1"/>
</file>

<file path=xl/ctrlProps/ctrlProp76.xml><?xml version="1.0" encoding="utf-8"?>
<formControlPr xmlns="http://schemas.microsoft.com/office/spreadsheetml/2009/9/main" objectType="CheckBox" noThreeD="1"/>
</file>

<file path=xl/ctrlProps/ctrlProp77.xml><?xml version="1.0" encoding="utf-8"?>
<formControlPr xmlns="http://schemas.microsoft.com/office/spreadsheetml/2009/9/main" objectType="CheckBox" noThreeD="1"/>
</file>

<file path=xl/ctrlProps/ctrlProp78.xml><?xml version="1.0" encoding="utf-8"?>
<formControlPr xmlns="http://schemas.microsoft.com/office/spreadsheetml/2009/9/main" objectType="CheckBox" noThreeD="1"/>
</file>

<file path=xl/ctrlProps/ctrlProp79.xml><?xml version="1.0" encoding="utf-8"?>
<formControlPr xmlns="http://schemas.microsoft.com/office/spreadsheetml/2009/9/main" objectType="CheckBox" noThreeD="1"/>
</file>

<file path=xl/ctrlProps/ctrlProp80.xml><?xml version="1.0" encoding="utf-8"?>
<formControlPr xmlns="http://schemas.microsoft.com/office/spreadsheetml/2009/9/main" objectType="CheckBox" noThreeD="1"/>
</file>

<file path=xl/ctrlProps/ctrlProp81.xml><?xml version="1.0" encoding="utf-8"?>
<formControlPr xmlns="http://schemas.microsoft.com/office/spreadsheetml/2009/9/main" objectType="CheckBox" noThreeD="1"/>
</file>

<file path=xl/ctrlProps/ctrlProp82.xml><?xml version="1.0" encoding="utf-8"?>
<formControlPr xmlns="http://schemas.microsoft.com/office/spreadsheetml/2009/9/main" objectType="CheckBox" noThreeD="1"/>
</file>

<file path=xl/ctrlProps/ctrlProp83.xml><?xml version="1.0" encoding="utf-8"?>
<formControlPr xmlns="http://schemas.microsoft.com/office/spreadsheetml/2009/9/main" objectType="CheckBox" noThreeD="1"/>
</file>

<file path=xl/ctrlProps/ctrlProp84.xml><?xml version="1.0" encoding="utf-8"?>
<formControlPr xmlns="http://schemas.microsoft.com/office/spreadsheetml/2009/9/main" objectType="CheckBox" noThreeD="1"/>
</file>

<file path=xl/ctrlProps/ctrlProp85.xml><?xml version="1.0" encoding="utf-8"?>
<formControlPr xmlns="http://schemas.microsoft.com/office/spreadsheetml/2009/9/main" objectType="CheckBox" noThreeD="1"/>
</file>

<file path=xl/ctrlProps/ctrlProp86.xml><?xml version="1.0" encoding="utf-8"?>
<formControlPr xmlns="http://schemas.microsoft.com/office/spreadsheetml/2009/9/main" objectType="CheckBox" noThreeD="1"/>
</file>

<file path=xl/ctrlProps/ctrlProp87.xml><?xml version="1.0" encoding="utf-8"?>
<formControlPr xmlns="http://schemas.microsoft.com/office/spreadsheetml/2009/9/main" objectType="CheckBox" noThreeD="1"/>
</file>

<file path=xl/ctrlProps/ctrlProp88.xml><?xml version="1.0" encoding="utf-8"?>
<formControlPr xmlns="http://schemas.microsoft.com/office/spreadsheetml/2009/9/main" objectType="CheckBox" noThreeD="1"/>
</file>

<file path=xl/ctrlProps/ctrlProp89.xml><?xml version="1.0" encoding="utf-8"?>
<formControlPr xmlns="http://schemas.microsoft.com/office/spreadsheetml/2009/9/main" objectType="CheckBox" noThreeD="1"/>
</file>

<file path=xl/ctrlProps/ctrlProp90.xml><?xml version="1.0" encoding="utf-8"?>
<formControlPr xmlns="http://schemas.microsoft.com/office/spreadsheetml/2009/9/main" objectType="CheckBox" noThreeD="1"/>
</file>

<file path=xl/ctrlProps/ctrlProp91.xml><?xml version="1.0" encoding="utf-8"?>
<formControlPr xmlns="http://schemas.microsoft.com/office/spreadsheetml/2009/9/main" objectType="CheckBox" noThreeD="1"/>
</file>

<file path=xl/ctrlProps/ctrlProp92.xml><?xml version="1.0" encoding="utf-8"?>
<formControlPr xmlns="http://schemas.microsoft.com/office/spreadsheetml/2009/9/main" objectType="CheckBox" noThreeD="1"/>
</file>

<file path=xl/ctrlProps/ctrlProp93.xml><?xml version="1.0" encoding="utf-8"?>
<formControlPr xmlns="http://schemas.microsoft.com/office/spreadsheetml/2009/9/main" objectType="CheckBox" noThreeD="1"/>
</file>

<file path=xl/ctrlProps/ctrlProp94.xml><?xml version="1.0" encoding="utf-8"?>
<formControlPr xmlns="http://schemas.microsoft.com/office/spreadsheetml/2009/9/main" objectType="CheckBox" noThreeD="1"/>
</file>

<file path=xl/ctrlProps/ctrlProp95.xml><?xml version="1.0" encoding="utf-8"?>
<formControlPr xmlns="http://schemas.microsoft.com/office/spreadsheetml/2009/9/main" objectType="CheckBox" noThreeD="1"/>
</file>

<file path=xl/ctrlProps/ctrlProp96.xml><?xml version="1.0" encoding="utf-8"?>
<formControlPr xmlns="http://schemas.microsoft.com/office/spreadsheetml/2009/9/main" objectType="CheckBox" noThreeD="1"/>
</file>

<file path=xl/ctrlProps/ctrlProp97.xml><?xml version="1.0" encoding="utf-8"?>
<formControlPr xmlns="http://schemas.microsoft.com/office/spreadsheetml/2009/9/main" objectType="CheckBox" noThreeD="1"/>
</file>

<file path=xl/ctrlProps/ctrlProp98.xml><?xml version="1.0" encoding="utf-8"?>
<formControlPr xmlns="http://schemas.microsoft.com/office/spreadsheetml/2009/9/main" objectType="CheckBox" noThreeD="1"/>
</file>

<file path=xl/ctrlProps/ctrlProp99.xml><?xml version="1.0" encoding="utf-8"?>
<formControlPr xmlns="http://schemas.microsoft.com/office/spreadsheetml/2009/9/main" objectType="CheckBox" noThreeD="1"/>
</file>

<file path=xl/ctrlProps/ctrlProp100.xml><?xml version="1.0" encoding="utf-8"?>
<formControlPr xmlns="http://schemas.microsoft.com/office/spreadsheetml/2009/9/main" objectType="CheckBox" noThreeD="1"/>
</file>

<file path=xl/ctrlProps/ctrlProp101.xml><?xml version="1.0" encoding="utf-8"?>
<formControlPr xmlns="http://schemas.microsoft.com/office/spreadsheetml/2009/9/main" objectType="CheckBox" noThreeD="1"/>
</file>

<file path=xl/ctrlProps/ctrlProp102.xml><?xml version="1.0" encoding="utf-8"?>
<formControlPr xmlns="http://schemas.microsoft.com/office/spreadsheetml/2009/9/main" objectType="CheckBox" noThreeD="1"/>
</file>

<file path=xl/ctrlProps/ctrlProp103.xml><?xml version="1.0" encoding="utf-8"?>
<formControlPr xmlns="http://schemas.microsoft.com/office/spreadsheetml/2009/9/main" objectType="CheckBox" noThreeD="1"/>
</file>

<file path=xl/ctrlProps/ctrlProp104.xml><?xml version="1.0" encoding="utf-8"?>
<formControlPr xmlns="http://schemas.microsoft.com/office/spreadsheetml/2009/9/main" objectType="CheckBox" noThreeD="1"/>
</file>

<file path=xl/ctrlProps/ctrlProp105.xml><?xml version="1.0" encoding="utf-8"?>
<formControlPr xmlns="http://schemas.microsoft.com/office/spreadsheetml/2009/9/main" objectType="CheckBox" noThreeD="1"/>
</file>

<file path=xl/ctrlProps/ctrlProp106.xml><?xml version="1.0" encoding="utf-8"?>
<formControlPr xmlns="http://schemas.microsoft.com/office/spreadsheetml/2009/9/main" objectType="CheckBox" noThreeD="1"/>
</file>

<file path=xl/ctrlProps/ctrlProp107.xml><?xml version="1.0" encoding="utf-8"?>
<formControlPr xmlns="http://schemas.microsoft.com/office/spreadsheetml/2009/9/main" objectType="CheckBox" noThreeD="1"/>
</file>

<file path=xl/ctrlProps/ctrlProp108.xml><?xml version="1.0" encoding="utf-8"?>
<formControlPr xmlns="http://schemas.microsoft.com/office/spreadsheetml/2009/9/main" objectType="CheckBox" noThreeD="1"/>
</file>

<file path=xl/ctrlProps/ctrlProp109.xml><?xml version="1.0" encoding="utf-8"?>
<formControlPr xmlns="http://schemas.microsoft.com/office/spreadsheetml/2009/9/main" objectType="CheckBox" noThreeD="1"/>
</file>

<file path=xl/ctrlProps/ctrlProp110.xml><?xml version="1.0" encoding="utf-8"?>
<formControlPr xmlns="http://schemas.microsoft.com/office/spreadsheetml/2009/9/main" objectType="CheckBox" noThreeD="1"/>
</file>

<file path=xl/ctrlProps/ctrlProp111.xml><?xml version="1.0" encoding="utf-8"?>
<formControlPr xmlns="http://schemas.microsoft.com/office/spreadsheetml/2009/9/main" objectType="CheckBox" noThreeD="1"/>
</file>

<file path=xl/ctrlProps/ctrlProp112.xml><?xml version="1.0" encoding="utf-8"?>
<formControlPr xmlns="http://schemas.microsoft.com/office/spreadsheetml/2009/9/main" objectType="CheckBox" noThreeD="1"/>
</file>

<file path=xl/ctrlProps/ctrlProp113.xml><?xml version="1.0" encoding="utf-8"?>
<formControlPr xmlns="http://schemas.microsoft.com/office/spreadsheetml/2009/9/main" objectType="CheckBox" noThreeD="1"/>
</file>

<file path=xl/ctrlProps/ctrlProp114.xml><?xml version="1.0" encoding="utf-8"?>
<formControlPr xmlns="http://schemas.microsoft.com/office/spreadsheetml/2009/9/main" objectType="CheckBox" noThreeD="1"/>
</file>

<file path=xl/ctrlProps/ctrlProp115.xml><?xml version="1.0" encoding="utf-8"?>
<formControlPr xmlns="http://schemas.microsoft.com/office/spreadsheetml/2009/9/main" objectType="CheckBox" noThreeD="1"/>
</file>

<file path=xl/ctrlProps/ctrlProp116.xml><?xml version="1.0" encoding="utf-8"?>
<formControlPr xmlns="http://schemas.microsoft.com/office/spreadsheetml/2009/9/main" objectType="CheckBox" noThreeD="1"/>
</file>

<file path=xl/ctrlProps/ctrlProp117.xml><?xml version="1.0" encoding="utf-8"?>
<formControlPr xmlns="http://schemas.microsoft.com/office/spreadsheetml/2009/9/main" objectType="CheckBox" noThreeD="1"/>
</file>

<file path=xl/ctrlProps/ctrlProp118.xml><?xml version="1.0" encoding="utf-8"?>
<formControlPr xmlns="http://schemas.microsoft.com/office/spreadsheetml/2009/9/main" objectType="CheckBox" noThreeD="1"/>
</file>

<file path=xl/ctrlProps/ctrlProp119.xml><?xml version="1.0" encoding="utf-8"?>
<formControlPr xmlns="http://schemas.microsoft.com/office/spreadsheetml/2009/9/main" objectType="CheckBox" noThreeD="1"/>
</file>

<file path=xl/ctrlProps/ctrlProp120.xml><?xml version="1.0" encoding="utf-8"?>
<formControlPr xmlns="http://schemas.microsoft.com/office/spreadsheetml/2009/9/main" objectType="CheckBox" noThreeD="1"/>
</file>

<file path=xl/ctrlProps/ctrlProp121.xml><?xml version="1.0" encoding="utf-8"?>
<formControlPr xmlns="http://schemas.microsoft.com/office/spreadsheetml/2009/9/main" objectType="CheckBox" noThreeD="1"/>
</file>

<file path=xl/ctrlProps/ctrlProp122.xml><?xml version="1.0" encoding="utf-8"?>
<formControlPr xmlns="http://schemas.microsoft.com/office/spreadsheetml/2009/9/main" objectType="CheckBox" noThreeD="1"/>
</file>

<file path=xl/ctrlProps/ctrlProp123.xml><?xml version="1.0" encoding="utf-8"?>
<formControlPr xmlns="http://schemas.microsoft.com/office/spreadsheetml/2009/9/main" objectType="CheckBox" noThreeD="1"/>
</file>

<file path=xl/ctrlProps/ctrlProp124.xml><?xml version="1.0" encoding="utf-8"?>
<formControlPr xmlns="http://schemas.microsoft.com/office/spreadsheetml/2009/9/main" objectType="CheckBox" noThreeD="1"/>
</file>

<file path=xl/ctrlProps/ctrlProp125.xml><?xml version="1.0" encoding="utf-8"?>
<formControlPr xmlns="http://schemas.microsoft.com/office/spreadsheetml/2009/9/main" objectType="CheckBox" noThreeD="1"/>
</file>

<file path=xl/ctrlProps/ctrlProp126.xml><?xml version="1.0" encoding="utf-8"?>
<formControlPr xmlns="http://schemas.microsoft.com/office/spreadsheetml/2009/9/main" objectType="CheckBox" noThreeD="1"/>
</file>

<file path=xl/ctrlProps/ctrlProp127.xml><?xml version="1.0" encoding="utf-8"?>
<formControlPr xmlns="http://schemas.microsoft.com/office/spreadsheetml/2009/9/main" objectType="CheckBox" noThreeD="1"/>
</file>

<file path=xl/ctrlProps/ctrlProp128.xml><?xml version="1.0" encoding="utf-8"?>
<formControlPr xmlns="http://schemas.microsoft.com/office/spreadsheetml/2009/9/main" objectType="CheckBox" noThreeD="1"/>
</file>

<file path=xl/ctrlProps/ctrlProp129.xml><?xml version="1.0" encoding="utf-8"?>
<formControlPr xmlns="http://schemas.microsoft.com/office/spreadsheetml/2009/9/main" objectType="CheckBox" noThreeD="1"/>
</file>

<file path=xl/ctrlProps/ctrlProp130.xml><?xml version="1.0" encoding="utf-8"?>
<formControlPr xmlns="http://schemas.microsoft.com/office/spreadsheetml/2009/9/main" objectType="CheckBox" noThreeD="1"/>
</file>

<file path=xl/ctrlProps/ctrlProp131.xml><?xml version="1.0" encoding="utf-8"?>
<formControlPr xmlns="http://schemas.microsoft.com/office/spreadsheetml/2009/9/main" objectType="CheckBox" noThreeD="1"/>
</file>

<file path=xl/ctrlProps/ctrlProp132.xml><?xml version="1.0" encoding="utf-8"?>
<formControlPr xmlns="http://schemas.microsoft.com/office/spreadsheetml/2009/9/main" objectType="CheckBox" noThreeD="1"/>
</file>

<file path=xl/ctrlProps/ctrlProp133.xml><?xml version="1.0" encoding="utf-8"?>
<formControlPr xmlns="http://schemas.microsoft.com/office/spreadsheetml/2009/9/main" objectType="CheckBox" noThreeD="1"/>
</file>

<file path=xl/ctrlProps/ctrlProp134.xml><?xml version="1.0" encoding="utf-8"?>
<formControlPr xmlns="http://schemas.microsoft.com/office/spreadsheetml/2009/9/main" objectType="CheckBox" noThreeD="1"/>
</file>

<file path=xl/ctrlProps/ctrlProp135.xml><?xml version="1.0" encoding="utf-8"?>
<formControlPr xmlns="http://schemas.microsoft.com/office/spreadsheetml/2009/9/main" objectType="CheckBox" noThreeD="1"/>
</file>

<file path=xl/ctrlProps/ctrlProp136.xml><?xml version="1.0" encoding="utf-8"?>
<formControlPr xmlns="http://schemas.microsoft.com/office/spreadsheetml/2009/9/main" objectType="CheckBox" noThreeD="1"/>
</file>

<file path=xl/ctrlProps/ctrlProp137.xml><?xml version="1.0" encoding="utf-8"?>
<formControlPr xmlns="http://schemas.microsoft.com/office/spreadsheetml/2009/9/main" objectType="CheckBox" noThreeD="1"/>
</file>

<file path=xl/ctrlProps/ctrlProp138.xml><?xml version="1.0" encoding="utf-8"?>
<formControlPr xmlns="http://schemas.microsoft.com/office/spreadsheetml/2009/9/main" objectType="CheckBox" noThreeD="1"/>
</file>

<file path=xl/ctrlProps/ctrlProp139.xml><?xml version="1.0" encoding="utf-8"?>
<formControlPr xmlns="http://schemas.microsoft.com/office/spreadsheetml/2009/9/main" objectType="CheckBox" noThreeD="1"/>
</file>

<file path=xl/ctrlProps/ctrlProp140.xml><?xml version="1.0" encoding="utf-8"?>
<formControlPr xmlns="http://schemas.microsoft.com/office/spreadsheetml/2009/9/main" objectType="CheckBox" noThreeD="1"/>
</file>

<file path=xl/ctrlProps/ctrlProp141.xml><?xml version="1.0" encoding="utf-8"?>
<formControlPr xmlns="http://schemas.microsoft.com/office/spreadsheetml/2009/9/main" objectType="CheckBox" noThreeD="1"/>
</file>

<file path=xl/ctrlProps/ctrlProp142.xml><?xml version="1.0" encoding="utf-8"?>
<formControlPr xmlns="http://schemas.microsoft.com/office/spreadsheetml/2009/9/main" objectType="CheckBox" noThreeD="1"/>
</file>

<file path=xl/ctrlProps/ctrlProp143.xml><?xml version="1.0" encoding="utf-8"?>
<formControlPr xmlns="http://schemas.microsoft.com/office/spreadsheetml/2009/9/main" objectType="CheckBox" checked="Checked" noThreeD="1"/>
</file>

<file path=xl/ctrlProps/ctrlProp144.xml><?xml version="1.0" encoding="utf-8"?>
<formControlPr xmlns="http://schemas.microsoft.com/office/spreadsheetml/2009/9/main" objectType="CheckBox"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38100</xdr:colOff>
          <xdr:row>11</xdr:row>
          <xdr:rowOff>9525</xdr:rowOff>
        </xdr:from>
        <xdr:to>
          <xdr:col>4</xdr:col>
          <xdr:colOff>209550</xdr:colOff>
          <xdr:row>12</xdr:row>
          <xdr:rowOff>28575</xdr:rowOff>
        </xdr:to>
        <xdr:sp macro="" textlink="">
          <xdr:nvSpPr>
            <xdr:cNvPr id="100469" name="Check Box 117" hidden="1">
              <a:extLst>
                <a:ext uri="{63B3BB69-23CF-44E3-9099-C40C66FF867C}">
                  <a14:compatExt spid="_x0000_s100469"/>
                </a:ext>
                <a:ext uri="{FF2B5EF4-FFF2-40B4-BE49-F238E27FC236}">
                  <a16:creationId xmlns:a16="http://schemas.microsoft.com/office/drawing/2014/main" id="{00000000-0008-0000-0100-00007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285750</xdr:colOff>
          <xdr:row>11</xdr:row>
          <xdr:rowOff>0</xdr:rowOff>
        </xdr:from>
        <xdr:to>
          <xdr:col>6</xdr:col>
          <xdr:colOff>171450</xdr:colOff>
          <xdr:row>12</xdr:row>
          <xdr:rowOff>28575</xdr:rowOff>
        </xdr:to>
        <xdr:sp macro="" textlink="">
          <xdr:nvSpPr>
            <xdr:cNvPr id="100470" name="Check Box 118" hidden="1">
              <a:extLst>
                <a:ext uri="{63B3BB69-23CF-44E3-9099-C40C66FF867C}">
                  <a14:compatExt spid="_x0000_s100470"/>
                </a:ext>
                <a:ext uri="{FF2B5EF4-FFF2-40B4-BE49-F238E27FC236}">
                  <a16:creationId xmlns:a16="http://schemas.microsoft.com/office/drawing/2014/main" id="{00000000-0008-0000-0100-00007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11</xdr:row>
          <xdr:rowOff>0</xdr:rowOff>
        </xdr:from>
        <xdr:to>
          <xdr:col>8</xdr:col>
          <xdr:colOff>133350</xdr:colOff>
          <xdr:row>12</xdr:row>
          <xdr:rowOff>28575</xdr:rowOff>
        </xdr:to>
        <xdr:sp macro="" textlink="">
          <xdr:nvSpPr>
            <xdr:cNvPr id="100471" name="Check Box 119" hidden="1">
              <a:extLst>
                <a:ext uri="{63B3BB69-23CF-44E3-9099-C40C66FF867C}">
                  <a14:compatExt spid="_x0000_s100471"/>
                </a:ext>
                <a:ext uri="{FF2B5EF4-FFF2-40B4-BE49-F238E27FC236}">
                  <a16:creationId xmlns:a16="http://schemas.microsoft.com/office/drawing/2014/main" id="{00000000-0008-0000-0100-00007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209550</xdr:colOff>
          <xdr:row>11</xdr:row>
          <xdr:rowOff>0</xdr:rowOff>
        </xdr:from>
        <xdr:to>
          <xdr:col>10</xdr:col>
          <xdr:colOff>19050</xdr:colOff>
          <xdr:row>12</xdr:row>
          <xdr:rowOff>28575</xdr:rowOff>
        </xdr:to>
        <xdr:sp macro="" textlink="">
          <xdr:nvSpPr>
            <xdr:cNvPr id="100472" name="Check Box 120" hidden="1">
              <a:extLst>
                <a:ext uri="{63B3BB69-23CF-44E3-9099-C40C66FF867C}">
                  <a14:compatExt spid="_x0000_s100472"/>
                </a:ext>
                <a:ext uri="{FF2B5EF4-FFF2-40B4-BE49-F238E27FC236}">
                  <a16:creationId xmlns:a16="http://schemas.microsoft.com/office/drawing/2014/main" id="{00000000-0008-0000-0100-000078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190500</xdr:colOff>
          <xdr:row>11</xdr:row>
          <xdr:rowOff>9525</xdr:rowOff>
        </xdr:from>
        <xdr:to>
          <xdr:col>11</xdr:col>
          <xdr:colOff>390525</xdr:colOff>
          <xdr:row>12</xdr:row>
          <xdr:rowOff>28575</xdr:rowOff>
        </xdr:to>
        <xdr:sp macro="" textlink="">
          <xdr:nvSpPr>
            <xdr:cNvPr id="100473" name="Check Box 121" hidden="1">
              <a:extLst>
                <a:ext uri="{63B3BB69-23CF-44E3-9099-C40C66FF867C}">
                  <a14:compatExt spid="_x0000_s100473"/>
                </a:ext>
                <a:ext uri="{FF2B5EF4-FFF2-40B4-BE49-F238E27FC236}">
                  <a16:creationId xmlns:a16="http://schemas.microsoft.com/office/drawing/2014/main" id="{00000000-0008-0000-0100-000079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11</xdr:row>
          <xdr:rowOff>0</xdr:rowOff>
        </xdr:from>
        <xdr:to>
          <xdr:col>2</xdr:col>
          <xdr:colOff>161925</xdr:colOff>
          <xdr:row>12</xdr:row>
          <xdr:rowOff>28575</xdr:rowOff>
        </xdr:to>
        <xdr:sp macro="" textlink="">
          <xdr:nvSpPr>
            <xdr:cNvPr id="100474" name="Check Box 122" hidden="1">
              <a:extLst>
                <a:ext uri="{63B3BB69-23CF-44E3-9099-C40C66FF867C}">
                  <a14:compatExt spid="_x0000_s100474"/>
                </a:ext>
                <a:ext uri="{FF2B5EF4-FFF2-40B4-BE49-F238E27FC236}">
                  <a16:creationId xmlns:a16="http://schemas.microsoft.com/office/drawing/2014/main" id="{00000000-0008-0000-0100-00007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56</xdr:row>
          <xdr:rowOff>0</xdr:rowOff>
        </xdr:from>
        <xdr:to>
          <xdr:col>3</xdr:col>
          <xdr:colOff>295275</xdr:colOff>
          <xdr:row>56</xdr:row>
          <xdr:rowOff>152400</xdr:rowOff>
        </xdr:to>
        <xdr:sp macro="" textlink="">
          <xdr:nvSpPr>
            <xdr:cNvPr id="100475" name="Check Box 123" hidden="1">
              <a:extLst>
                <a:ext uri="{63B3BB69-23CF-44E3-9099-C40C66FF867C}">
                  <a14:compatExt spid="_x0000_s100475"/>
                </a:ext>
                <a:ext uri="{FF2B5EF4-FFF2-40B4-BE49-F238E27FC236}">
                  <a16:creationId xmlns:a16="http://schemas.microsoft.com/office/drawing/2014/main" id="{00000000-0008-0000-0100-00007B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56</xdr:row>
          <xdr:rowOff>0</xdr:rowOff>
        </xdr:from>
        <xdr:to>
          <xdr:col>7</xdr:col>
          <xdr:colOff>161925</xdr:colOff>
          <xdr:row>56</xdr:row>
          <xdr:rowOff>152400</xdr:rowOff>
        </xdr:to>
        <xdr:sp macro="" textlink="">
          <xdr:nvSpPr>
            <xdr:cNvPr id="100476" name="Check Box 124" hidden="1">
              <a:extLst>
                <a:ext uri="{63B3BB69-23CF-44E3-9099-C40C66FF867C}">
                  <a14:compatExt spid="_x0000_s100476"/>
                </a:ext>
                <a:ext uri="{FF2B5EF4-FFF2-40B4-BE49-F238E27FC236}">
                  <a16:creationId xmlns:a16="http://schemas.microsoft.com/office/drawing/2014/main" id="{00000000-0008-0000-0100-00007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56</xdr:row>
          <xdr:rowOff>0</xdr:rowOff>
        </xdr:from>
        <xdr:to>
          <xdr:col>10</xdr:col>
          <xdr:colOff>285750</xdr:colOff>
          <xdr:row>56</xdr:row>
          <xdr:rowOff>152400</xdr:rowOff>
        </xdr:to>
        <xdr:sp macro="" textlink="">
          <xdr:nvSpPr>
            <xdr:cNvPr id="100477" name="Check Box 125" hidden="1">
              <a:extLst>
                <a:ext uri="{63B3BB69-23CF-44E3-9099-C40C66FF867C}">
                  <a14:compatExt spid="_x0000_s100477"/>
                </a:ext>
                <a:ext uri="{FF2B5EF4-FFF2-40B4-BE49-F238E27FC236}">
                  <a16:creationId xmlns:a16="http://schemas.microsoft.com/office/drawing/2014/main" id="{00000000-0008-0000-0100-00007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56</xdr:row>
          <xdr:rowOff>0</xdr:rowOff>
        </xdr:from>
        <xdr:to>
          <xdr:col>12</xdr:col>
          <xdr:colOff>314325</xdr:colOff>
          <xdr:row>56</xdr:row>
          <xdr:rowOff>152400</xdr:rowOff>
        </xdr:to>
        <xdr:sp macro="" textlink="">
          <xdr:nvSpPr>
            <xdr:cNvPr id="100478" name="Check Box 126" hidden="1">
              <a:extLst>
                <a:ext uri="{63B3BB69-23CF-44E3-9099-C40C66FF867C}">
                  <a14:compatExt spid="_x0000_s100478"/>
                </a:ext>
                <a:ext uri="{FF2B5EF4-FFF2-40B4-BE49-F238E27FC236}">
                  <a16:creationId xmlns:a16="http://schemas.microsoft.com/office/drawing/2014/main" id="{00000000-0008-0000-0100-00007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247650</xdr:rowOff>
        </xdr:from>
        <xdr:to>
          <xdr:col>4</xdr:col>
          <xdr:colOff>133350</xdr:colOff>
          <xdr:row>13</xdr:row>
          <xdr:rowOff>180975</xdr:rowOff>
        </xdr:to>
        <xdr:sp macro="" textlink="">
          <xdr:nvSpPr>
            <xdr:cNvPr id="100479" name="Check Box 127" hidden="1">
              <a:extLst>
                <a:ext uri="{63B3BB69-23CF-44E3-9099-C40C66FF867C}">
                  <a14:compatExt spid="_x0000_s100479"/>
                </a:ext>
                <a:ext uri="{FF2B5EF4-FFF2-40B4-BE49-F238E27FC236}">
                  <a16:creationId xmlns:a16="http://schemas.microsoft.com/office/drawing/2014/main" id="{00000000-0008-0000-0100-00007F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13</xdr:row>
          <xdr:rowOff>0</xdr:rowOff>
        </xdr:from>
        <xdr:to>
          <xdr:col>2</xdr:col>
          <xdr:colOff>209550</xdr:colOff>
          <xdr:row>14</xdr:row>
          <xdr:rowOff>19050</xdr:rowOff>
        </xdr:to>
        <xdr:sp macro="" textlink="">
          <xdr:nvSpPr>
            <xdr:cNvPr id="100480" name="Check Box 128" hidden="1">
              <a:extLst>
                <a:ext uri="{63B3BB69-23CF-44E3-9099-C40C66FF867C}">
                  <a14:compatExt spid="_x0000_s100480"/>
                </a:ext>
                <a:ext uri="{FF2B5EF4-FFF2-40B4-BE49-F238E27FC236}">
                  <a16:creationId xmlns:a16="http://schemas.microsoft.com/office/drawing/2014/main" id="{00000000-0008-0000-0100-000080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12</xdr:row>
          <xdr:rowOff>209550</xdr:rowOff>
        </xdr:from>
        <xdr:to>
          <xdr:col>6</xdr:col>
          <xdr:colOff>285750</xdr:colOff>
          <xdr:row>14</xdr:row>
          <xdr:rowOff>123825</xdr:rowOff>
        </xdr:to>
        <xdr:sp macro="" textlink="">
          <xdr:nvSpPr>
            <xdr:cNvPr id="100481" name="Check Box 129" hidden="1">
              <a:extLst>
                <a:ext uri="{63B3BB69-23CF-44E3-9099-C40C66FF867C}">
                  <a14:compatExt spid="_x0000_s100481"/>
                </a:ext>
                <a:ext uri="{FF2B5EF4-FFF2-40B4-BE49-F238E27FC236}">
                  <a16:creationId xmlns:a16="http://schemas.microsoft.com/office/drawing/2014/main" id="{00000000-0008-0000-0100-000081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12</xdr:row>
          <xdr:rowOff>228600</xdr:rowOff>
        </xdr:from>
        <xdr:to>
          <xdr:col>8</xdr:col>
          <xdr:colOff>352425</xdr:colOff>
          <xdr:row>14</xdr:row>
          <xdr:rowOff>114300</xdr:rowOff>
        </xdr:to>
        <xdr:sp macro="" textlink="">
          <xdr:nvSpPr>
            <xdr:cNvPr id="100482" name="Check Box 130" hidden="1">
              <a:extLst>
                <a:ext uri="{63B3BB69-23CF-44E3-9099-C40C66FF867C}">
                  <a14:compatExt spid="_x0000_s100482"/>
                </a:ext>
                <a:ext uri="{FF2B5EF4-FFF2-40B4-BE49-F238E27FC236}">
                  <a16:creationId xmlns:a16="http://schemas.microsoft.com/office/drawing/2014/main" id="{00000000-0008-0000-0100-000082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190</xdr:row>
          <xdr:rowOff>0</xdr:rowOff>
        </xdr:from>
        <xdr:to>
          <xdr:col>12</xdr:col>
          <xdr:colOff>542925</xdr:colOff>
          <xdr:row>190</xdr:row>
          <xdr:rowOff>133350</xdr:rowOff>
        </xdr:to>
        <xdr:sp macro="" textlink="">
          <xdr:nvSpPr>
            <xdr:cNvPr id="100486" name="Check Box 134" hidden="1">
              <a:extLst>
                <a:ext uri="{63B3BB69-23CF-44E3-9099-C40C66FF867C}">
                  <a14:compatExt spid="_x0000_s100486"/>
                </a:ext>
                <a:ext uri="{FF2B5EF4-FFF2-40B4-BE49-F238E27FC236}">
                  <a16:creationId xmlns:a16="http://schemas.microsoft.com/office/drawing/2014/main" id="{00000000-0008-0000-0100-00008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190</xdr:row>
          <xdr:rowOff>228600</xdr:rowOff>
        </xdr:from>
        <xdr:to>
          <xdr:col>12</xdr:col>
          <xdr:colOff>447675</xdr:colOff>
          <xdr:row>192</xdr:row>
          <xdr:rowOff>47625</xdr:rowOff>
        </xdr:to>
        <xdr:sp macro="" textlink="">
          <xdr:nvSpPr>
            <xdr:cNvPr id="100487" name="Check Box 135" hidden="1">
              <a:extLst>
                <a:ext uri="{63B3BB69-23CF-44E3-9099-C40C66FF867C}">
                  <a14:compatExt spid="_x0000_s100487"/>
                </a:ext>
                <a:ext uri="{FF2B5EF4-FFF2-40B4-BE49-F238E27FC236}">
                  <a16:creationId xmlns:a16="http://schemas.microsoft.com/office/drawing/2014/main" id="{00000000-0008-0000-0100-00008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192</xdr:row>
          <xdr:rowOff>0</xdr:rowOff>
        </xdr:from>
        <xdr:to>
          <xdr:col>12</xdr:col>
          <xdr:colOff>438150</xdr:colOff>
          <xdr:row>192</xdr:row>
          <xdr:rowOff>152400</xdr:rowOff>
        </xdr:to>
        <xdr:sp macro="" textlink="">
          <xdr:nvSpPr>
            <xdr:cNvPr id="100488" name="Check Box 136" hidden="1">
              <a:extLst>
                <a:ext uri="{63B3BB69-23CF-44E3-9099-C40C66FF867C}">
                  <a14:compatExt spid="_x0000_s100488"/>
                </a:ext>
                <a:ext uri="{FF2B5EF4-FFF2-40B4-BE49-F238E27FC236}">
                  <a16:creationId xmlns:a16="http://schemas.microsoft.com/office/drawing/2014/main" id="{00000000-0008-0000-0100-000088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100501" name="Check Box 149" hidden="1">
              <a:extLst>
                <a:ext uri="{63B3BB69-23CF-44E3-9099-C40C66FF867C}">
                  <a14:compatExt spid="_x0000_s100501"/>
                </a:ext>
                <a:ext uri="{FF2B5EF4-FFF2-40B4-BE49-F238E27FC236}">
                  <a16:creationId xmlns:a16="http://schemas.microsoft.com/office/drawing/2014/main" id="{00000000-0008-0000-0100-00009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100502" name="Check Box 150" hidden="1">
              <a:extLst>
                <a:ext uri="{63B3BB69-23CF-44E3-9099-C40C66FF867C}">
                  <a14:compatExt spid="_x0000_s100502"/>
                </a:ext>
                <a:ext uri="{FF2B5EF4-FFF2-40B4-BE49-F238E27FC236}">
                  <a16:creationId xmlns:a16="http://schemas.microsoft.com/office/drawing/2014/main" id="{00000000-0008-0000-0100-00009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135</xdr:row>
          <xdr:rowOff>142875</xdr:rowOff>
        </xdr:from>
        <xdr:to>
          <xdr:col>2</xdr:col>
          <xdr:colOff>200025</xdr:colOff>
          <xdr:row>135</xdr:row>
          <xdr:rowOff>504825</xdr:rowOff>
        </xdr:to>
        <xdr:sp macro="" textlink="">
          <xdr:nvSpPr>
            <xdr:cNvPr id="100524" name="Check Box 172" hidden="1">
              <a:extLst>
                <a:ext uri="{63B3BB69-23CF-44E3-9099-C40C66FF867C}">
                  <a14:compatExt spid="_x0000_s100524"/>
                </a:ext>
                <a:ext uri="{FF2B5EF4-FFF2-40B4-BE49-F238E27FC236}">
                  <a16:creationId xmlns:a16="http://schemas.microsoft.com/office/drawing/2014/main" id="{00000000-0008-0000-0100-0000A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135</xdr:row>
          <xdr:rowOff>152400</xdr:rowOff>
        </xdr:from>
        <xdr:to>
          <xdr:col>5</xdr:col>
          <xdr:colOff>571500</xdr:colOff>
          <xdr:row>135</xdr:row>
          <xdr:rowOff>514350</xdr:rowOff>
        </xdr:to>
        <xdr:sp macro="" textlink="">
          <xdr:nvSpPr>
            <xdr:cNvPr id="100525" name="Check Box 173" hidden="1">
              <a:extLst>
                <a:ext uri="{63B3BB69-23CF-44E3-9099-C40C66FF867C}">
                  <a14:compatExt spid="_x0000_s100525"/>
                </a:ext>
                <a:ext uri="{FF2B5EF4-FFF2-40B4-BE49-F238E27FC236}">
                  <a16:creationId xmlns:a16="http://schemas.microsoft.com/office/drawing/2014/main" id="{00000000-0008-0000-0100-0000A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257175</xdr:colOff>
          <xdr:row>135</xdr:row>
          <xdr:rowOff>133350</xdr:rowOff>
        </xdr:from>
        <xdr:to>
          <xdr:col>10</xdr:col>
          <xdr:colOff>304800</xdr:colOff>
          <xdr:row>135</xdr:row>
          <xdr:rowOff>495300</xdr:rowOff>
        </xdr:to>
        <xdr:sp macro="" textlink="">
          <xdr:nvSpPr>
            <xdr:cNvPr id="100526" name="Check Box 174" hidden="1">
              <a:extLst>
                <a:ext uri="{63B3BB69-23CF-44E3-9099-C40C66FF867C}">
                  <a14:compatExt spid="_x0000_s100526"/>
                </a:ext>
                <a:ext uri="{FF2B5EF4-FFF2-40B4-BE49-F238E27FC236}">
                  <a16:creationId xmlns:a16="http://schemas.microsoft.com/office/drawing/2014/main" id="{00000000-0008-0000-0100-0000A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228600</xdr:colOff>
          <xdr:row>131</xdr:row>
          <xdr:rowOff>133350</xdr:rowOff>
        </xdr:from>
        <xdr:to>
          <xdr:col>10</xdr:col>
          <xdr:colOff>95250</xdr:colOff>
          <xdr:row>131</xdr:row>
          <xdr:rowOff>495300</xdr:rowOff>
        </xdr:to>
        <xdr:sp macro="" textlink="">
          <xdr:nvSpPr>
            <xdr:cNvPr id="100527" name="Check Box 175" hidden="1">
              <a:extLst>
                <a:ext uri="{63B3BB69-23CF-44E3-9099-C40C66FF867C}">
                  <a14:compatExt spid="_x0000_s100527"/>
                </a:ext>
                <a:ext uri="{FF2B5EF4-FFF2-40B4-BE49-F238E27FC236}">
                  <a16:creationId xmlns:a16="http://schemas.microsoft.com/office/drawing/2014/main" id="{00000000-0008-0000-0100-0000AF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131</xdr:row>
          <xdr:rowOff>123825</xdr:rowOff>
        </xdr:from>
        <xdr:to>
          <xdr:col>5</xdr:col>
          <xdr:colOff>590550</xdr:colOff>
          <xdr:row>131</xdr:row>
          <xdr:rowOff>485775</xdr:rowOff>
        </xdr:to>
        <xdr:sp macro="" textlink="">
          <xdr:nvSpPr>
            <xdr:cNvPr id="100528" name="Check Box 176" hidden="1">
              <a:extLst>
                <a:ext uri="{63B3BB69-23CF-44E3-9099-C40C66FF867C}">
                  <a14:compatExt spid="_x0000_s100528"/>
                </a:ext>
                <a:ext uri="{FF2B5EF4-FFF2-40B4-BE49-F238E27FC236}">
                  <a16:creationId xmlns:a16="http://schemas.microsoft.com/office/drawing/2014/main" id="{00000000-0008-0000-0100-0000B0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131</xdr:row>
          <xdr:rowOff>152400</xdr:rowOff>
        </xdr:from>
        <xdr:to>
          <xdr:col>2</xdr:col>
          <xdr:colOff>228600</xdr:colOff>
          <xdr:row>131</xdr:row>
          <xdr:rowOff>514350</xdr:rowOff>
        </xdr:to>
        <xdr:sp macro="" textlink="">
          <xdr:nvSpPr>
            <xdr:cNvPr id="100529" name="Check Box 177" hidden="1">
              <a:extLst>
                <a:ext uri="{63B3BB69-23CF-44E3-9099-C40C66FF867C}">
                  <a14:compatExt spid="_x0000_s100529"/>
                </a:ext>
                <a:ext uri="{FF2B5EF4-FFF2-40B4-BE49-F238E27FC236}">
                  <a16:creationId xmlns:a16="http://schemas.microsoft.com/office/drawing/2014/main" id="{00000000-0008-0000-0100-0000B1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122</xdr:row>
          <xdr:rowOff>133350</xdr:rowOff>
        </xdr:from>
        <xdr:to>
          <xdr:col>2</xdr:col>
          <xdr:colOff>180975</xdr:colOff>
          <xdr:row>122</xdr:row>
          <xdr:rowOff>495300</xdr:rowOff>
        </xdr:to>
        <xdr:sp macro="" textlink="">
          <xdr:nvSpPr>
            <xdr:cNvPr id="100533" name="Check Box 181" hidden="1">
              <a:extLst>
                <a:ext uri="{63B3BB69-23CF-44E3-9099-C40C66FF867C}">
                  <a14:compatExt spid="_x0000_s100533"/>
                </a:ext>
                <a:ext uri="{FF2B5EF4-FFF2-40B4-BE49-F238E27FC236}">
                  <a16:creationId xmlns:a16="http://schemas.microsoft.com/office/drawing/2014/main" id="{00000000-0008-0000-0100-0000B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122</xdr:row>
          <xdr:rowOff>142875</xdr:rowOff>
        </xdr:from>
        <xdr:to>
          <xdr:col>5</xdr:col>
          <xdr:colOff>504825</xdr:colOff>
          <xdr:row>122</xdr:row>
          <xdr:rowOff>504825</xdr:rowOff>
        </xdr:to>
        <xdr:sp macro="" textlink="">
          <xdr:nvSpPr>
            <xdr:cNvPr id="100534" name="Check Box 182" hidden="1">
              <a:extLst>
                <a:ext uri="{63B3BB69-23CF-44E3-9099-C40C66FF867C}">
                  <a14:compatExt spid="_x0000_s100534"/>
                </a:ext>
                <a:ext uri="{FF2B5EF4-FFF2-40B4-BE49-F238E27FC236}">
                  <a16:creationId xmlns:a16="http://schemas.microsoft.com/office/drawing/2014/main" id="{00000000-0008-0000-0100-0000B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159</xdr:row>
          <xdr:rowOff>304800</xdr:rowOff>
        </xdr:from>
        <xdr:to>
          <xdr:col>7</xdr:col>
          <xdr:colOff>57150</xdr:colOff>
          <xdr:row>160</xdr:row>
          <xdr:rowOff>133350</xdr:rowOff>
        </xdr:to>
        <xdr:sp macro="" textlink="">
          <xdr:nvSpPr>
            <xdr:cNvPr id="100554" name="Check Box 202" hidden="1">
              <a:extLst>
                <a:ext uri="{63B3BB69-23CF-44E3-9099-C40C66FF867C}">
                  <a14:compatExt spid="_x0000_s100554"/>
                </a:ext>
                <a:ext uri="{FF2B5EF4-FFF2-40B4-BE49-F238E27FC236}">
                  <a16:creationId xmlns:a16="http://schemas.microsoft.com/office/drawing/2014/main" id="{00000000-0008-0000-0100-0000C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666750</xdr:colOff>
          <xdr:row>159</xdr:row>
          <xdr:rowOff>228600</xdr:rowOff>
        </xdr:from>
        <xdr:to>
          <xdr:col>11</xdr:col>
          <xdr:colOff>419100</xdr:colOff>
          <xdr:row>160</xdr:row>
          <xdr:rowOff>133350</xdr:rowOff>
        </xdr:to>
        <xdr:sp macro="" textlink="">
          <xdr:nvSpPr>
            <xdr:cNvPr id="100555" name="Check Box 203" hidden="1">
              <a:extLst>
                <a:ext uri="{63B3BB69-23CF-44E3-9099-C40C66FF867C}">
                  <a14:compatExt spid="_x0000_s100555"/>
                </a:ext>
                <a:ext uri="{FF2B5EF4-FFF2-40B4-BE49-F238E27FC236}">
                  <a16:creationId xmlns:a16="http://schemas.microsoft.com/office/drawing/2014/main" id="{00000000-0008-0000-0100-0000CB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161</xdr:row>
          <xdr:rowOff>342900</xdr:rowOff>
        </xdr:from>
        <xdr:to>
          <xdr:col>7</xdr:col>
          <xdr:colOff>38100</xdr:colOff>
          <xdr:row>162</xdr:row>
          <xdr:rowOff>133350</xdr:rowOff>
        </xdr:to>
        <xdr:sp macro="" textlink="">
          <xdr:nvSpPr>
            <xdr:cNvPr id="100556" name="Check Box 204" hidden="1">
              <a:extLst>
                <a:ext uri="{63B3BB69-23CF-44E3-9099-C40C66FF867C}">
                  <a14:compatExt spid="_x0000_s100556"/>
                </a:ext>
                <a:ext uri="{FF2B5EF4-FFF2-40B4-BE49-F238E27FC236}">
                  <a16:creationId xmlns:a16="http://schemas.microsoft.com/office/drawing/2014/main" id="{00000000-0008-0000-0100-0000C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638175</xdr:colOff>
          <xdr:row>161</xdr:row>
          <xdr:rowOff>238125</xdr:rowOff>
        </xdr:from>
        <xdr:to>
          <xdr:col>11</xdr:col>
          <xdr:colOff>400050</xdr:colOff>
          <xdr:row>162</xdr:row>
          <xdr:rowOff>133350</xdr:rowOff>
        </xdr:to>
        <xdr:sp macro="" textlink="">
          <xdr:nvSpPr>
            <xdr:cNvPr id="100557" name="Check Box 205" hidden="1">
              <a:extLst>
                <a:ext uri="{63B3BB69-23CF-44E3-9099-C40C66FF867C}">
                  <a14:compatExt spid="_x0000_s100557"/>
                </a:ext>
                <a:ext uri="{FF2B5EF4-FFF2-40B4-BE49-F238E27FC236}">
                  <a16:creationId xmlns:a16="http://schemas.microsoft.com/office/drawing/2014/main" id="{00000000-0008-0000-0100-0000C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163</xdr:row>
          <xdr:rowOff>238125</xdr:rowOff>
        </xdr:from>
        <xdr:to>
          <xdr:col>6</xdr:col>
          <xdr:colOff>390525</xdr:colOff>
          <xdr:row>163</xdr:row>
          <xdr:rowOff>400050</xdr:rowOff>
        </xdr:to>
        <xdr:sp macro="" textlink="">
          <xdr:nvSpPr>
            <xdr:cNvPr id="100558" name="Check Box 206" hidden="1">
              <a:extLst>
                <a:ext uri="{63B3BB69-23CF-44E3-9099-C40C66FF867C}">
                  <a14:compatExt spid="_x0000_s100558"/>
                </a:ext>
                <a:ext uri="{FF2B5EF4-FFF2-40B4-BE49-F238E27FC236}">
                  <a16:creationId xmlns:a16="http://schemas.microsoft.com/office/drawing/2014/main" id="{00000000-0008-0000-0100-0000C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638175</xdr:colOff>
          <xdr:row>163</xdr:row>
          <xdr:rowOff>247650</xdr:rowOff>
        </xdr:from>
        <xdr:to>
          <xdr:col>11</xdr:col>
          <xdr:colOff>400050</xdr:colOff>
          <xdr:row>163</xdr:row>
          <xdr:rowOff>419100</xdr:rowOff>
        </xdr:to>
        <xdr:sp macro="" textlink="">
          <xdr:nvSpPr>
            <xdr:cNvPr id="100559" name="Check Box 207" hidden="1">
              <a:extLst>
                <a:ext uri="{63B3BB69-23CF-44E3-9099-C40C66FF867C}">
                  <a14:compatExt spid="_x0000_s100559"/>
                </a:ext>
                <a:ext uri="{FF2B5EF4-FFF2-40B4-BE49-F238E27FC236}">
                  <a16:creationId xmlns:a16="http://schemas.microsoft.com/office/drawing/2014/main" id="{00000000-0008-0000-0100-0000CF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56</xdr:row>
          <xdr:rowOff>0</xdr:rowOff>
        </xdr:from>
        <xdr:to>
          <xdr:col>3</xdr:col>
          <xdr:colOff>523875</xdr:colOff>
          <xdr:row>56</xdr:row>
          <xdr:rowOff>152400</xdr:rowOff>
        </xdr:to>
        <xdr:sp macro="" textlink="">
          <xdr:nvSpPr>
            <xdr:cNvPr id="100563" name="Check Box 211" hidden="1">
              <a:extLst>
                <a:ext uri="{63B3BB69-23CF-44E3-9099-C40C66FF867C}">
                  <a14:compatExt spid="_x0000_s100563"/>
                </a:ext>
                <a:ext uri="{FF2B5EF4-FFF2-40B4-BE49-F238E27FC236}">
                  <a16:creationId xmlns:a16="http://schemas.microsoft.com/office/drawing/2014/main" id="{00000000-0008-0000-0100-0000D3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56</xdr:row>
          <xdr:rowOff>0</xdr:rowOff>
        </xdr:from>
        <xdr:to>
          <xdr:col>7</xdr:col>
          <xdr:colOff>161925</xdr:colOff>
          <xdr:row>56</xdr:row>
          <xdr:rowOff>152400</xdr:rowOff>
        </xdr:to>
        <xdr:sp macro="" textlink="">
          <xdr:nvSpPr>
            <xdr:cNvPr id="100564" name="Check Box 212" hidden="1">
              <a:extLst>
                <a:ext uri="{63B3BB69-23CF-44E3-9099-C40C66FF867C}">
                  <a14:compatExt spid="_x0000_s100564"/>
                </a:ext>
                <a:ext uri="{FF2B5EF4-FFF2-40B4-BE49-F238E27FC236}">
                  <a16:creationId xmlns:a16="http://schemas.microsoft.com/office/drawing/2014/main" id="{00000000-0008-0000-0100-0000D4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56</xdr:row>
          <xdr:rowOff>0</xdr:rowOff>
        </xdr:from>
        <xdr:to>
          <xdr:col>10</xdr:col>
          <xdr:colOff>285750</xdr:colOff>
          <xdr:row>56</xdr:row>
          <xdr:rowOff>152400</xdr:rowOff>
        </xdr:to>
        <xdr:sp macro="" textlink="">
          <xdr:nvSpPr>
            <xdr:cNvPr id="100565" name="Check Box 213" hidden="1">
              <a:extLst>
                <a:ext uri="{63B3BB69-23CF-44E3-9099-C40C66FF867C}">
                  <a14:compatExt spid="_x0000_s100565"/>
                </a:ext>
                <a:ext uri="{FF2B5EF4-FFF2-40B4-BE49-F238E27FC236}">
                  <a16:creationId xmlns:a16="http://schemas.microsoft.com/office/drawing/2014/main" id="{00000000-0008-0000-0100-0000D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56</xdr:row>
          <xdr:rowOff>0</xdr:rowOff>
        </xdr:from>
        <xdr:to>
          <xdr:col>12</xdr:col>
          <xdr:colOff>314325</xdr:colOff>
          <xdr:row>56</xdr:row>
          <xdr:rowOff>152400</xdr:rowOff>
        </xdr:to>
        <xdr:sp macro="" textlink="">
          <xdr:nvSpPr>
            <xdr:cNvPr id="100566" name="Check Box 214" hidden="1">
              <a:extLst>
                <a:ext uri="{63B3BB69-23CF-44E3-9099-C40C66FF867C}">
                  <a14:compatExt spid="_x0000_s100566"/>
                </a:ext>
                <a:ext uri="{FF2B5EF4-FFF2-40B4-BE49-F238E27FC236}">
                  <a16:creationId xmlns:a16="http://schemas.microsoft.com/office/drawing/2014/main" id="{00000000-0008-0000-0100-0000D6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13</xdr:row>
          <xdr:rowOff>0</xdr:rowOff>
        </xdr:from>
        <xdr:to>
          <xdr:col>2</xdr:col>
          <xdr:colOff>209550</xdr:colOff>
          <xdr:row>14</xdr:row>
          <xdr:rowOff>38100</xdr:rowOff>
        </xdr:to>
        <xdr:sp macro="" textlink="">
          <xdr:nvSpPr>
            <xdr:cNvPr id="100567" name="Check Box 215" hidden="1">
              <a:extLst>
                <a:ext uri="{63B3BB69-23CF-44E3-9099-C40C66FF867C}">
                  <a14:compatExt spid="_x0000_s100567"/>
                </a:ext>
                <a:ext uri="{FF2B5EF4-FFF2-40B4-BE49-F238E27FC236}">
                  <a16:creationId xmlns:a16="http://schemas.microsoft.com/office/drawing/2014/main" id="{00000000-0008-0000-0100-0000D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190</xdr:row>
          <xdr:rowOff>0</xdr:rowOff>
        </xdr:from>
        <xdr:to>
          <xdr:col>12</xdr:col>
          <xdr:colOff>542925</xdr:colOff>
          <xdr:row>190</xdr:row>
          <xdr:rowOff>133350</xdr:rowOff>
        </xdr:to>
        <xdr:sp macro="" textlink="">
          <xdr:nvSpPr>
            <xdr:cNvPr id="100569" name="Check Box 217" hidden="1">
              <a:extLst>
                <a:ext uri="{63B3BB69-23CF-44E3-9099-C40C66FF867C}">
                  <a14:compatExt spid="_x0000_s100569"/>
                </a:ext>
                <a:ext uri="{FF2B5EF4-FFF2-40B4-BE49-F238E27FC236}">
                  <a16:creationId xmlns:a16="http://schemas.microsoft.com/office/drawing/2014/main" id="{00000000-0008-0000-0100-0000D9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192</xdr:row>
          <xdr:rowOff>0</xdr:rowOff>
        </xdr:from>
        <xdr:to>
          <xdr:col>12</xdr:col>
          <xdr:colOff>438150</xdr:colOff>
          <xdr:row>192</xdr:row>
          <xdr:rowOff>152400</xdr:rowOff>
        </xdr:to>
        <xdr:sp macro="" textlink="">
          <xdr:nvSpPr>
            <xdr:cNvPr id="100570" name="Check Box 218" hidden="1">
              <a:extLst>
                <a:ext uri="{63B3BB69-23CF-44E3-9099-C40C66FF867C}">
                  <a14:compatExt spid="_x0000_s100570"/>
                </a:ext>
                <a:ext uri="{FF2B5EF4-FFF2-40B4-BE49-F238E27FC236}">
                  <a16:creationId xmlns:a16="http://schemas.microsoft.com/office/drawing/2014/main" id="{00000000-0008-0000-0100-0000D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0</xdr:col>
          <xdr:colOff>0</xdr:colOff>
          <xdr:row>0</xdr:row>
          <xdr:rowOff>0</xdr:rowOff>
        </xdr:to>
        <xdr:sp macro="" textlink="">
          <xdr:nvSpPr>
            <xdr:cNvPr id="100581" name="Check Box 229" hidden="1">
              <a:extLst>
                <a:ext uri="{63B3BB69-23CF-44E3-9099-C40C66FF867C}">
                  <a14:compatExt spid="_x0000_s100581"/>
                </a:ext>
                <a:ext uri="{FF2B5EF4-FFF2-40B4-BE49-F238E27FC236}">
                  <a16:creationId xmlns:a16="http://schemas.microsoft.com/office/drawing/2014/main" id="{00000000-0008-0000-0100-0000E5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200025</xdr:colOff>
          <xdr:row>43</xdr:row>
          <xdr:rowOff>0</xdr:rowOff>
        </xdr:from>
        <xdr:to>
          <xdr:col>10</xdr:col>
          <xdr:colOff>95250</xdr:colOff>
          <xdr:row>43</xdr:row>
          <xdr:rowOff>200025</xdr:rowOff>
        </xdr:to>
        <xdr:sp macro="" textlink="">
          <xdr:nvSpPr>
            <xdr:cNvPr id="100599" name="Check Box 247" hidden="1">
              <a:extLst>
                <a:ext uri="{63B3BB69-23CF-44E3-9099-C40C66FF867C}">
                  <a14:compatExt spid="_x0000_s100599"/>
                </a:ext>
                <a:ext uri="{FF2B5EF4-FFF2-40B4-BE49-F238E27FC236}">
                  <a16:creationId xmlns:a16="http://schemas.microsoft.com/office/drawing/2014/main" id="{00000000-0008-0000-0100-0000F7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542925</xdr:colOff>
          <xdr:row>43</xdr:row>
          <xdr:rowOff>0</xdr:rowOff>
        </xdr:from>
        <xdr:to>
          <xdr:col>11</xdr:col>
          <xdr:colOff>142875</xdr:colOff>
          <xdr:row>43</xdr:row>
          <xdr:rowOff>200025</xdr:rowOff>
        </xdr:to>
        <xdr:sp macro="" textlink="">
          <xdr:nvSpPr>
            <xdr:cNvPr id="100600" name="Check Box 248" hidden="1">
              <a:extLst>
                <a:ext uri="{63B3BB69-23CF-44E3-9099-C40C66FF867C}">
                  <a14:compatExt spid="_x0000_s100600"/>
                </a:ext>
                <a:ext uri="{FF2B5EF4-FFF2-40B4-BE49-F238E27FC236}">
                  <a16:creationId xmlns:a16="http://schemas.microsoft.com/office/drawing/2014/main" id="{00000000-0008-0000-0100-0000F8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43</xdr:row>
          <xdr:rowOff>381000</xdr:rowOff>
        </xdr:from>
        <xdr:to>
          <xdr:col>10</xdr:col>
          <xdr:colOff>76200</xdr:colOff>
          <xdr:row>44</xdr:row>
          <xdr:rowOff>200025</xdr:rowOff>
        </xdr:to>
        <xdr:sp macro="" textlink="">
          <xdr:nvSpPr>
            <xdr:cNvPr id="100601" name="Check Box 249" hidden="1">
              <a:extLst>
                <a:ext uri="{63B3BB69-23CF-44E3-9099-C40C66FF867C}">
                  <a14:compatExt spid="_x0000_s100601"/>
                </a:ext>
                <a:ext uri="{FF2B5EF4-FFF2-40B4-BE49-F238E27FC236}">
                  <a16:creationId xmlns:a16="http://schemas.microsoft.com/office/drawing/2014/main" id="{00000000-0008-0000-0100-0000F9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542925</xdr:colOff>
          <xdr:row>44</xdr:row>
          <xdr:rowOff>0</xdr:rowOff>
        </xdr:from>
        <xdr:to>
          <xdr:col>11</xdr:col>
          <xdr:colOff>142875</xdr:colOff>
          <xdr:row>44</xdr:row>
          <xdr:rowOff>200025</xdr:rowOff>
        </xdr:to>
        <xdr:sp macro="" textlink="">
          <xdr:nvSpPr>
            <xdr:cNvPr id="100602" name="Check Box 250" hidden="1">
              <a:extLst>
                <a:ext uri="{63B3BB69-23CF-44E3-9099-C40C66FF867C}">
                  <a14:compatExt spid="_x0000_s100602"/>
                </a:ext>
                <a:ext uri="{FF2B5EF4-FFF2-40B4-BE49-F238E27FC236}">
                  <a16:creationId xmlns:a16="http://schemas.microsoft.com/office/drawing/2014/main" id="{00000000-0008-0000-0100-0000FA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44</xdr:row>
          <xdr:rowOff>381000</xdr:rowOff>
        </xdr:from>
        <xdr:to>
          <xdr:col>10</xdr:col>
          <xdr:colOff>66675</xdr:colOff>
          <xdr:row>45</xdr:row>
          <xdr:rowOff>200025</xdr:rowOff>
        </xdr:to>
        <xdr:sp macro="" textlink="">
          <xdr:nvSpPr>
            <xdr:cNvPr id="100603" name="Check Box 251" hidden="1">
              <a:extLst>
                <a:ext uri="{63B3BB69-23CF-44E3-9099-C40C66FF867C}">
                  <a14:compatExt spid="_x0000_s100603"/>
                </a:ext>
                <a:ext uri="{FF2B5EF4-FFF2-40B4-BE49-F238E27FC236}">
                  <a16:creationId xmlns:a16="http://schemas.microsoft.com/office/drawing/2014/main" id="{00000000-0008-0000-0100-0000FB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561975</xdr:colOff>
          <xdr:row>44</xdr:row>
          <xdr:rowOff>381000</xdr:rowOff>
        </xdr:from>
        <xdr:to>
          <xdr:col>11</xdr:col>
          <xdr:colOff>161925</xdr:colOff>
          <xdr:row>45</xdr:row>
          <xdr:rowOff>200025</xdr:rowOff>
        </xdr:to>
        <xdr:sp macro="" textlink="">
          <xdr:nvSpPr>
            <xdr:cNvPr id="100604" name="Check Box 252" hidden="1">
              <a:extLst>
                <a:ext uri="{63B3BB69-23CF-44E3-9099-C40C66FF867C}">
                  <a14:compatExt spid="_x0000_s100604"/>
                </a:ext>
                <a:ext uri="{FF2B5EF4-FFF2-40B4-BE49-F238E27FC236}">
                  <a16:creationId xmlns:a16="http://schemas.microsoft.com/office/drawing/2014/main" id="{00000000-0008-0000-0100-0000FC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46</xdr:row>
          <xdr:rowOff>0</xdr:rowOff>
        </xdr:from>
        <xdr:to>
          <xdr:col>10</xdr:col>
          <xdr:colOff>76200</xdr:colOff>
          <xdr:row>46</xdr:row>
          <xdr:rowOff>200025</xdr:rowOff>
        </xdr:to>
        <xdr:sp macro="" textlink="">
          <xdr:nvSpPr>
            <xdr:cNvPr id="100605" name="Check Box 253" hidden="1">
              <a:extLst>
                <a:ext uri="{63B3BB69-23CF-44E3-9099-C40C66FF867C}">
                  <a14:compatExt spid="_x0000_s100605"/>
                </a:ext>
                <a:ext uri="{FF2B5EF4-FFF2-40B4-BE49-F238E27FC236}">
                  <a16:creationId xmlns:a16="http://schemas.microsoft.com/office/drawing/2014/main" id="{00000000-0008-0000-0100-0000FD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523875</xdr:colOff>
          <xdr:row>46</xdr:row>
          <xdr:rowOff>19050</xdr:rowOff>
        </xdr:from>
        <xdr:to>
          <xdr:col>11</xdr:col>
          <xdr:colOff>123825</xdr:colOff>
          <xdr:row>46</xdr:row>
          <xdr:rowOff>219075</xdr:rowOff>
        </xdr:to>
        <xdr:sp macro="" textlink="">
          <xdr:nvSpPr>
            <xdr:cNvPr id="100606" name="Check Box 254" hidden="1">
              <a:extLst>
                <a:ext uri="{63B3BB69-23CF-44E3-9099-C40C66FF867C}">
                  <a14:compatExt spid="_x0000_s100606"/>
                </a:ext>
                <a:ext uri="{FF2B5EF4-FFF2-40B4-BE49-F238E27FC236}">
                  <a16:creationId xmlns:a16="http://schemas.microsoft.com/office/drawing/2014/main" id="{00000000-0008-0000-0100-0000FE88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47</xdr:row>
          <xdr:rowOff>0</xdr:rowOff>
        </xdr:from>
        <xdr:to>
          <xdr:col>10</xdr:col>
          <xdr:colOff>76200</xdr:colOff>
          <xdr:row>47</xdr:row>
          <xdr:rowOff>200025</xdr:rowOff>
        </xdr:to>
        <xdr:sp macro="" textlink="">
          <xdr:nvSpPr>
            <xdr:cNvPr id="100609" name="Check Box 257" hidden="1">
              <a:extLst>
                <a:ext uri="{63B3BB69-23CF-44E3-9099-C40C66FF867C}">
                  <a14:compatExt spid="_x0000_s100609"/>
                </a:ext>
                <a:ext uri="{FF2B5EF4-FFF2-40B4-BE49-F238E27FC236}">
                  <a16:creationId xmlns:a16="http://schemas.microsoft.com/office/drawing/2014/main" id="{00000000-0008-0000-0100-00000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523875</xdr:colOff>
          <xdr:row>47</xdr:row>
          <xdr:rowOff>19050</xdr:rowOff>
        </xdr:from>
        <xdr:to>
          <xdr:col>11</xdr:col>
          <xdr:colOff>123825</xdr:colOff>
          <xdr:row>47</xdr:row>
          <xdr:rowOff>219075</xdr:rowOff>
        </xdr:to>
        <xdr:sp macro="" textlink="">
          <xdr:nvSpPr>
            <xdr:cNvPr id="100610" name="Check Box 258" hidden="1">
              <a:extLst>
                <a:ext uri="{63B3BB69-23CF-44E3-9099-C40C66FF867C}">
                  <a14:compatExt spid="_x0000_s100610"/>
                </a:ext>
                <a:ext uri="{FF2B5EF4-FFF2-40B4-BE49-F238E27FC236}">
                  <a16:creationId xmlns:a16="http://schemas.microsoft.com/office/drawing/2014/main" id="{00000000-0008-0000-0100-00000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48</xdr:row>
          <xdr:rowOff>0</xdr:rowOff>
        </xdr:from>
        <xdr:to>
          <xdr:col>10</xdr:col>
          <xdr:colOff>76200</xdr:colOff>
          <xdr:row>48</xdr:row>
          <xdr:rowOff>200025</xdr:rowOff>
        </xdr:to>
        <xdr:sp macro="" textlink="">
          <xdr:nvSpPr>
            <xdr:cNvPr id="100611" name="Check Box 259" hidden="1">
              <a:extLst>
                <a:ext uri="{63B3BB69-23CF-44E3-9099-C40C66FF867C}">
                  <a14:compatExt spid="_x0000_s100611"/>
                </a:ext>
                <a:ext uri="{FF2B5EF4-FFF2-40B4-BE49-F238E27FC236}">
                  <a16:creationId xmlns:a16="http://schemas.microsoft.com/office/drawing/2014/main" id="{00000000-0008-0000-0100-00000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523875</xdr:colOff>
          <xdr:row>48</xdr:row>
          <xdr:rowOff>19050</xdr:rowOff>
        </xdr:from>
        <xdr:to>
          <xdr:col>11</xdr:col>
          <xdr:colOff>123825</xdr:colOff>
          <xdr:row>48</xdr:row>
          <xdr:rowOff>219075</xdr:rowOff>
        </xdr:to>
        <xdr:sp macro="" textlink="">
          <xdr:nvSpPr>
            <xdr:cNvPr id="100612" name="Check Box 260" hidden="1">
              <a:extLst>
                <a:ext uri="{63B3BB69-23CF-44E3-9099-C40C66FF867C}">
                  <a14:compatExt spid="_x0000_s100612"/>
                </a:ext>
                <a:ext uri="{FF2B5EF4-FFF2-40B4-BE49-F238E27FC236}">
                  <a16:creationId xmlns:a16="http://schemas.microsoft.com/office/drawing/2014/main" id="{00000000-0008-0000-0100-00000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523875</xdr:colOff>
          <xdr:row>99</xdr:row>
          <xdr:rowOff>400050</xdr:rowOff>
        </xdr:from>
        <xdr:to>
          <xdr:col>5</xdr:col>
          <xdr:colOff>247650</xdr:colOff>
          <xdr:row>99</xdr:row>
          <xdr:rowOff>638175</xdr:rowOff>
        </xdr:to>
        <xdr:sp macro="" textlink="">
          <xdr:nvSpPr>
            <xdr:cNvPr id="100613" name="Check Box 261" hidden="1">
              <a:extLst>
                <a:ext uri="{63B3BB69-23CF-44E3-9099-C40C66FF867C}">
                  <a14:compatExt spid="_x0000_s100613"/>
                </a:ext>
                <a:ext uri="{FF2B5EF4-FFF2-40B4-BE49-F238E27FC236}">
                  <a16:creationId xmlns:a16="http://schemas.microsoft.com/office/drawing/2014/main" id="{00000000-0008-0000-0100-00000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38</xdr:row>
          <xdr:rowOff>9525</xdr:rowOff>
        </xdr:from>
        <xdr:to>
          <xdr:col>11</xdr:col>
          <xdr:colOff>209550</xdr:colOff>
          <xdr:row>38</xdr:row>
          <xdr:rowOff>209550</xdr:rowOff>
        </xdr:to>
        <xdr:sp macro="" textlink="">
          <xdr:nvSpPr>
            <xdr:cNvPr id="100615" name="Check Box 263" hidden="1">
              <a:extLst>
                <a:ext uri="{63B3BB69-23CF-44E3-9099-C40C66FF867C}">
                  <a14:compatExt spid="_x0000_s100615"/>
                </a:ext>
                <a:ext uri="{FF2B5EF4-FFF2-40B4-BE49-F238E27FC236}">
                  <a16:creationId xmlns:a16="http://schemas.microsoft.com/office/drawing/2014/main" id="{00000000-0008-0000-0100-00000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523875</xdr:colOff>
          <xdr:row>38</xdr:row>
          <xdr:rowOff>9525</xdr:rowOff>
        </xdr:from>
        <xdr:to>
          <xdr:col>12</xdr:col>
          <xdr:colOff>266700</xdr:colOff>
          <xdr:row>38</xdr:row>
          <xdr:rowOff>209550</xdr:rowOff>
        </xdr:to>
        <xdr:sp macro="" textlink="">
          <xdr:nvSpPr>
            <xdr:cNvPr id="100616" name="Check Box 264" hidden="1">
              <a:extLst>
                <a:ext uri="{63B3BB69-23CF-44E3-9099-C40C66FF867C}">
                  <a14:compatExt spid="_x0000_s100616"/>
                </a:ext>
                <a:ext uri="{FF2B5EF4-FFF2-40B4-BE49-F238E27FC236}">
                  <a16:creationId xmlns:a16="http://schemas.microsoft.com/office/drawing/2014/main" id="{00000000-0008-0000-0100-00000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39</xdr:row>
          <xdr:rowOff>9525</xdr:rowOff>
        </xdr:from>
        <xdr:to>
          <xdr:col>11</xdr:col>
          <xdr:colOff>209550</xdr:colOff>
          <xdr:row>39</xdr:row>
          <xdr:rowOff>209550</xdr:rowOff>
        </xdr:to>
        <xdr:sp macro="" textlink="">
          <xdr:nvSpPr>
            <xdr:cNvPr id="100617" name="Check Box 265" hidden="1">
              <a:extLst>
                <a:ext uri="{63B3BB69-23CF-44E3-9099-C40C66FF867C}">
                  <a14:compatExt spid="_x0000_s100617"/>
                </a:ext>
                <a:ext uri="{FF2B5EF4-FFF2-40B4-BE49-F238E27FC236}">
                  <a16:creationId xmlns:a16="http://schemas.microsoft.com/office/drawing/2014/main" id="{00000000-0008-0000-0100-00000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514350</xdr:colOff>
          <xdr:row>39</xdr:row>
          <xdr:rowOff>0</xdr:rowOff>
        </xdr:from>
        <xdr:to>
          <xdr:col>12</xdr:col>
          <xdr:colOff>257175</xdr:colOff>
          <xdr:row>39</xdr:row>
          <xdr:rowOff>200025</xdr:rowOff>
        </xdr:to>
        <xdr:sp macro="" textlink="">
          <xdr:nvSpPr>
            <xdr:cNvPr id="100618" name="Check Box 266" hidden="1">
              <a:extLst>
                <a:ext uri="{63B3BB69-23CF-44E3-9099-C40C66FF867C}">
                  <a14:compatExt spid="_x0000_s100618"/>
                </a:ext>
                <a:ext uri="{FF2B5EF4-FFF2-40B4-BE49-F238E27FC236}">
                  <a16:creationId xmlns:a16="http://schemas.microsoft.com/office/drawing/2014/main" id="{00000000-0008-0000-0100-00000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523875</xdr:colOff>
          <xdr:row>41</xdr:row>
          <xdr:rowOff>285750</xdr:rowOff>
        </xdr:from>
        <xdr:to>
          <xdr:col>11</xdr:col>
          <xdr:colOff>123825</xdr:colOff>
          <xdr:row>42</xdr:row>
          <xdr:rowOff>190500</xdr:rowOff>
        </xdr:to>
        <xdr:sp macro="" textlink="">
          <xdr:nvSpPr>
            <xdr:cNvPr id="100624" name="Check Box 272" hidden="1">
              <a:extLst>
                <a:ext uri="{63B3BB69-23CF-44E3-9099-C40C66FF867C}">
                  <a14:compatExt spid="_x0000_s100624"/>
                </a:ext>
                <a:ext uri="{FF2B5EF4-FFF2-40B4-BE49-F238E27FC236}">
                  <a16:creationId xmlns:a16="http://schemas.microsoft.com/office/drawing/2014/main" id="{00000000-0008-0000-0100-00001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42</xdr:row>
          <xdr:rowOff>9525</xdr:rowOff>
        </xdr:from>
        <xdr:to>
          <xdr:col>9</xdr:col>
          <xdr:colOff>447675</xdr:colOff>
          <xdr:row>42</xdr:row>
          <xdr:rowOff>209550</xdr:rowOff>
        </xdr:to>
        <xdr:sp macro="" textlink="">
          <xdr:nvSpPr>
            <xdr:cNvPr id="100625" name="Check Box 273" hidden="1">
              <a:extLst>
                <a:ext uri="{63B3BB69-23CF-44E3-9099-C40C66FF867C}">
                  <a14:compatExt spid="_x0000_s100625"/>
                </a:ext>
                <a:ext uri="{FF2B5EF4-FFF2-40B4-BE49-F238E27FC236}">
                  <a16:creationId xmlns:a16="http://schemas.microsoft.com/office/drawing/2014/main" id="{00000000-0008-0000-0100-00001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542925</xdr:colOff>
          <xdr:row>43</xdr:row>
          <xdr:rowOff>0</xdr:rowOff>
        </xdr:from>
        <xdr:to>
          <xdr:col>11</xdr:col>
          <xdr:colOff>142875</xdr:colOff>
          <xdr:row>43</xdr:row>
          <xdr:rowOff>200025</xdr:rowOff>
        </xdr:to>
        <xdr:sp macro="" textlink="">
          <xdr:nvSpPr>
            <xdr:cNvPr id="100627" name="Check Box 275" hidden="1">
              <a:extLst>
                <a:ext uri="{63B3BB69-23CF-44E3-9099-C40C66FF867C}">
                  <a14:compatExt spid="_x0000_s100627"/>
                </a:ext>
                <a:ext uri="{FF2B5EF4-FFF2-40B4-BE49-F238E27FC236}">
                  <a16:creationId xmlns:a16="http://schemas.microsoft.com/office/drawing/2014/main" id="{00000000-0008-0000-0100-00001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46</xdr:row>
          <xdr:rowOff>0</xdr:rowOff>
        </xdr:from>
        <xdr:to>
          <xdr:col>10</xdr:col>
          <xdr:colOff>76200</xdr:colOff>
          <xdr:row>46</xdr:row>
          <xdr:rowOff>200025</xdr:rowOff>
        </xdr:to>
        <xdr:sp macro="" textlink="">
          <xdr:nvSpPr>
            <xdr:cNvPr id="100632" name="Check Box 280" hidden="1">
              <a:extLst>
                <a:ext uri="{63B3BB69-23CF-44E3-9099-C40C66FF867C}">
                  <a14:compatExt spid="_x0000_s100632"/>
                </a:ext>
                <a:ext uri="{FF2B5EF4-FFF2-40B4-BE49-F238E27FC236}">
                  <a16:creationId xmlns:a16="http://schemas.microsoft.com/office/drawing/2014/main" id="{00000000-0008-0000-0100-00001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523875</xdr:colOff>
          <xdr:row>46</xdr:row>
          <xdr:rowOff>19050</xdr:rowOff>
        </xdr:from>
        <xdr:to>
          <xdr:col>11</xdr:col>
          <xdr:colOff>123825</xdr:colOff>
          <xdr:row>46</xdr:row>
          <xdr:rowOff>219075</xdr:rowOff>
        </xdr:to>
        <xdr:sp macro="" textlink="">
          <xdr:nvSpPr>
            <xdr:cNvPr id="100633" name="Check Box 281" hidden="1">
              <a:extLst>
                <a:ext uri="{63B3BB69-23CF-44E3-9099-C40C66FF867C}">
                  <a14:compatExt spid="_x0000_s100633"/>
                </a:ext>
                <a:ext uri="{FF2B5EF4-FFF2-40B4-BE49-F238E27FC236}">
                  <a16:creationId xmlns:a16="http://schemas.microsoft.com/office/drawing/2014/main" id="{00000000-0008-0000-0100-00001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47</xdr:row>
          <xdr:rowOff>0</xdr:rowOff>
        </xdr:from>
        <xdr:to>
          <xdr:col>10</xdr:col>
          <xdr:colOff>76200</xdr:colOff>
          <xdr:row>47</xdr:row>
          <xdr:rowOff>200025</xdr:rowOff>
        </xdr:to>
        <xdr:sp macro="" textlink="">
          <xdr:nvSpPr>
            <xdr:cNvPr id="100634" name="Check Box 282" hidden="1">
              <a:extLst>
                <a:ext uri="{63B3BB69-23CF-44E3-9099-C40C66FF867C}">
                  <a14:compatExt spid="_x0000_s100634"/>
                </a:ext>
                <a:ext uri="{FF2B5EF4-FFF2-40B4-BE49-F238E27FC236}">
                  <a16:creationId xmlns:a16="http://schemas.microsoft.com/office/drawing/2014/main" id="{00000000-0008-0000-0100-00001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523875</xdr:colOff>
          <xdr:row>47</xdr:row>
          <xdr:rowOff>19050</xdr:rowOff>
        </xdr:from>
        <xdr:to>
          <xdr:col>11</xdr:col>
          <xdr:colOff>123825</xdr:colOff>
          <xdr:row>47</xdr:row>
          <xdr:rowOff>219075</xdr:rowOff>
        </xdr:to>
        <xdr:sp macro="" textlink="">
          <xdr:nvSpPr>
            <xdr:cNvPr id="100635" name="Check Box 283" hidden="1">
              <a:extLst>
                <a:ext uri="{63B3BB69-23CF-44E3-9099-C40C66FF867C}">
                  <a14:compatExt spid="_x0000_s100635"/>
                </a:ext>
                <a:ext uri="{FF2B5EF4-FFF2-40B4-BE49-F238E27FC236}">
                  <a16:creationId xmlns:a16="http://schemas.microsoft.com/office/drawing/2014/main" id="{00000000-0008-0000-0100-00001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923925</xdr:colOff>
          <xdr:row>37</xdr:row>
          <xdr:rowOff>85725</xdr:rowOff>
        </xdr:from>
        <xdr:to>
          <xdr:col>9</xdr:col>
          <xdr:colOff>390525</xdr:colOff>
          <xdr:row>37</xdr:row>
          <xdr:rowOff>285750</xdr:rowOff>
        </xdr:to>
        <xdr:sp macro="" textlink="">
          <xdr:nvSpPr>
            <xdr:cNvPr id="100636" name="Check Box 284" hidden="1">
              <a:extLst>
                <a:ext uri="{63B3BB69-23CF-44E3-9099-C40C66FF867C}">
                  <a14:compatExt spid="_x0000_s100636"/>
                </a:ext>
                <a:ext uri="{FF2B5EF4-FFF2-40B4-BE49-F238E27FC236}">
                  <a16:creationId xmlns:a16="http://schemas.microsoft.com/office/drawing/2014/main" id="{00000000-0008-0000-0100-00001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285750</xdr:colOff>
          <xdr:row>37</xdr:row>
          <xdr:rowOff>85725</xdr:rowOff>
        </xdr:from>
        <xdr:to>
          <xdr:col>12</xdr:col>
          <xdr:colOff>28575</xdr:colOff>
          <xdr:row>37</xdr:row>
          <xdr:rowOff>285750</xdr:rowOff>
        </xdr:to>
        <xdr:sp macro="" textlink="">
          <xdr:nvSpPr>
            <xdr:cNvPr id="100640" name="Check Box 288" hidden="1">
              <a:extLst>
                <a:ext uri="{63B3BB69-23CF-44E3-9099-C40C66FF867C}">
                  <a14:compatExt spid="_x0000_s100640"/>
                </a:ext>
                <a:ext uri="{FF2B5EF4-FFF2-40B4-BE49-F238E27FC236}">
                  <a16:creationId xmlns:a16="http://schemas.microsoft.com/office/drawing/2014/main" id="{00000000-0008-0000-0100-00002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276225</xdr:colOff>
          <xdr:row>40</xdr:row>
          <xdr:rowOff>171450</xdr:rowOff>
        </xdr:from>
        <xdr:to>
          <xdr:col>0</xdr:col>
          <xdr:colOff>714375</xdr:colOff>
          <xdr:row>40</xdr:row>
          <xdr:rowOff>361950</xdr:rowOff>
        </xdr:to>
        <xdr:sp macro="" textlink="">
          <xdr:nvSpPr>
            <xdr:cNvPr id="100642" name="Check Box 290" hidden="1">
              <a:extLst>
                <a:ext uri="{63B3BB69-23CF-44E3-9099-C40C66FF867C}">
                  <a14:compatExt spid="_x0000_s100642"/>
                </a:ext>
                <a:ext uri="{FF2B5EF4-FFF2-40B4-BE49-F238E27FC236}">
                  <a16:creationId xmlns:a16="http://schemas.microsoft.com/office/drawing/2014/main" id="{00000000-0008-0000-0100-00002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1276350</xdr:colOff>
          <xdr:row>40</xdr:row>
          <xdr:rowOff>142875</xdr:rowOff>
        </xdr:from>
        <xdr:to>
          <xdr:col>2</xdr:col>
          <xdr:colOff>57150</xdr:colOff>
          <xdr:row>40</xdr:row>
          <xdr:rowOff>342900</xdr:rowOff>
        </xdr:to>
        <xdr:sp macro="" textlink="">
          <xdr:nvSpPr>
            <xdr:cNvPr id="100643" name="Check Box 291" hidden="1">
              <a:extLst>
                <a:ext uri="{63B3BB69-23CF-44E3-9099-C40C66FF867C}">
                  <a14:compatExt spid="_x0000_s100643"/>
                </a:ext>
                <a:ext uri="{FF2B5EF4-FFF2-40B4-BE49-F238E27FC236}">
                  <a16:creationId xmlns:a16="http://schemas.microsoft.com/office/drawing/2014/main" id="{00000000-0008-0000-0100-00002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590550</xdr:colOff>
          <xdr:row>41</xdr:row>
          <xdr:rowOff>0</xdr:rowOff>
        </xdr:from>
        <xdr:to>
          <xdr:col>11</xdr:col>
          <xdr:colOff>190500</xdr:colOff>
          <xdr:row>41</xdr:row>
          <xdr:rowOff>200025</xdr:rowOff>
        </xdr:to>
        <xdr:sp macro="" textlink="">
          <xdr:nvSpPr>
            <xdr:cNvPr id="100644" name="Check Box 292" hidden="1">
              <a:extLst>
                <a:ext uri="{63B3BB69-23CF-44E3-9099-C40C66FF867C}">
                  <a14:compatExt spid="_x0000_s100644"/>
                </a:ext>
                <a:ext uri="{FF2B5EF4-FFF2-40B4-BE49-F238E27FC236}">
                  <a16:creationId xmlns:a16="http://schemas.microsoft.com/office/drawing/2014/main" id="{00000000-0008-0000-0100-00002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552450</xdr:colOff>
          <xdr:row>40</xdr:row>
          <xdr:rowOff>447675</xdr:rowOff>
        </xdr:from>
        <xdr:to>
          <xdr:col>12</xdr:col>
          <xdr:colOff>295275</xdr:colOff>
          <xdr:row>41</xdr:row>
          <xdr:rowOff>190500</xdr:rowOff>
        </xdr:to>
        <xdr:sp macro="" textlink="">
          <xdr:nvSpPr>
            <xdr:cNvPr id="100645" name="Check Box 293" hidden="1">
              <a:extLst>
                <a:ext uri="{63B3BB69-23CF-44E3-9099-C40C66FF867C}">
                  <a14:compatExt spid="_x0000_s100645"/>
                </a:ext>
                <a:ext uri="{FF2B5EF4-FFF2-40B4-BE49-F238E27FC236}">
                  <a16:creationId xmlns:a16="http://schemas.microsoft.com/office/drawing/2014/main" id="{00000000-0008-0000-0100-00002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56</xdr:row>
          <xdr:rowOff>0</xdr:rowOff>
        </xdr:from>
        <xdr:to>
          <xdr:col>3</xdr:col>
          <xdr:colOff>295275</xdr:colOff>
          <xdr:row>56</xdr:row>
          <xdr:rowOff>152400</xdr:rowOff>
        </xdr:to>
        <xdr:sp macro="" textlink="">
          <xdr:nvSpPr>
            <xdr:cNvPr id="100646" name="Check Box 294" hidden="1">
              <a:extLst>
                <a:ext uri="{63B3BB69-23CF-44E3-9099-C40C66FF867C}">
                  <a14:compatExt spid="_x0000_s100646"/>
                </a:ext>
                <a:ext uri="{FF2B5EF4-FFF2-40B4-BE49-F238E27FC236}">
                  <a16:creationId xmlns:a16="http://schemas.microsoft.com/office/drawing/2014/main" id="{00000000-0008-0000-0100-00002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56</xdr:row>
          <xdr:rowOff>0</xdr:rowOff>
        </xdr:from>
        <xdr:to>
          <xdr:col>7</xdr:col>
          <xdr:colOff>161925</xdr:colOff>
          <xdr:row>56</xdr:row>
          <xdr:rowOff>152400</xdr:rowOff>
        </xdr:to>
        <xdr:sp macro="" textlink="">
          <xdr:nvSpPr>
            <xdr:cNvPr id="100647" name="Check Box 295" hidden="1">
              <a:extLst>
                <a:ext uri="{63B3BB69-23CF-44E3-9099-C40C66FF867C}">
                  <a14:compatExt spid="_x0000_s100647"/>
                </a:ext>
                <a:ext uri="{FF2B5EF4-FFF2-40B4-BE49-F238E27FC236}">
                  <a16:creationId xmlns:a16="http://schemas.microsoft.com/office/drawing/2014/main" id="{00000000-0008-0000-0100-00002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56</xdr:row>
          <xdr:rowOff>0</xdr:rowOff>
        </xdr:from>
        <xdr:to>
          <xdr:col>10</xdr:col>
          <xdr:colOff>285750</xdr:colOff>
          <xdr:row>56</xdr:row>
          <xdr:rowOff>152400</xdr:rowOff>
        </xdr:to>
        <xdr:sp macro="" textlink="">
          <xdr:nvSpPr>
            <xdr:cNvPr id="100648" name="Check Box 296" hidden="1">
              <a:extLst>
                <a:ext uri="{63B3BB69-23CF-44E3-9099-C40C66FF867C}">
                  <a14:compatExt spid="_x0000_s100648"/>
                </a:ext>
                <a:ext uri="{FF2B5EF4-FFF2-40B4-BE49-F238E27FC236}">
                  <a16:creationId xmlns:a16="http://schemas.microsoft.com/office/drawing/2014/main" id="{00000000-0008-0000-0100-00002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56</xdr:row>
          <xdr:rowOff>0</xdr:rowOff>
        </xdr:from>
        <xdr:to>
          <xdr:col>12</xdr:col>
          <xdr:colOff>314325</xdr:colOff>
          <xdr:row>56</xdr:row>
          <xdr:rowOff>152400</xdr:rowOff>
        </xdr:to>
        <xdr:sp macro="" textlink="">
          <xdr:nvSpPr>
            <xdr:cNvPr id="100649" name="Check Box 297" hidden="1">
              <a:extLst>
                <a:ext uri="{63B3BB69-23CF-44E3-9099-C40C66FF867C}">
                  <a14:compatExt spid="_x0000_s100649"/>
                </a:ext>
                <a:ext uri="{FF2B5EF4-FFF2-40B4-BE49-F238E27FC236}">
                  <a16:creationId xmlns:a16="http://schemas.microsoft.com/office/drawing/2014/main" id="{00000000-0008-0000-0100-00002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219075</xdr:colOff>
          <xdr:row>193</xdr:row>
          <xdr:rowOff>314325</xdr:rowOff>
        </xdr:from>
        <xdr:to>
          <xdr:col>12</xdr:col>
          <xdr:colOff>438150</xdr:colOff>
          <xdr:row>194</xdr:row>
          <xdr:rowOff>304800</xdr:rowOff>
        </xdr:to>
        <xdr:sp macro="" textlink="">
          <xdr:nvSpPr>
            <xdr:cNvPr id="100650" name="Check Box 298" hidden="1">
              <a:extLst>
                <a:ext uri="{63B3BB69-23CF-44E3-9099-C40C66FF867C}">
                  <a14:compatExt spid="_x0000_s100650"/>
                </a:ext>
                <a:ext uri="{FF2B5EF4-FFF2-40B4-BE49-F238E27FC236}">
                  <a16:creationId xmlns:a16="http://schemas.microsoft.com/office/drawing/2014/main" id="{00000000-0008-0000-0100-00002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219075</xdr:colOff>
          <xdr:row>195</xdr:row>
          <xdr:rowOff>114300</xdr:rowOff>
        </xdr:from>
        <xdr:to>
          <xdr:col>12</xdr:col>
          <xdr:colOff>419100</xdr:colOff>
          <xdr:row>195</xdr:row>
          <xdr:rowOff>285750</xdr:rowOff>
        </xdr:to>
        <xdr:sp macro="" textlink="">
          <xdr:nvSpPr>
            <xdr:cNvPr id="100651" name="Check Box 299" hidden="1">
              <a:extLst>
                <a:ext uri="{63B3BB69-23CF-44E3-9099-C40C66FF867C}">
                  <a14:compatExt spid="_x0000_s100651"/>
                </a:ext>
                <a:ext uri="{FF2B5EF4-FFF2-40B4-BE49-F238E27FC236}">
                  <a16:creationId xmlns:a16="http://schemas.microsoft.com/office/drawing/2014/main" id="{00000000-0008-0000-0100-00002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202</xdr:row>
          <xdr:rowOff>0</xdr:rowOff>
        </xdr:from>
        <xdr:to>
          <xdr:col>12</xdr:col>
          <xdr:colOff>542925</xdr:colOff>
          <xdr:row>202</xdr:row>
          <xdr:rowOff>133350</xdr:rowOff>
        </xdr:to>
        <xdr:sp macro="" textlink="">
          <xdr:nvSpPr>
            <xdr:cNvPr id="100652" name="Check Box 300" hidden="1">
              <a:extLst>
                <a:ext uri="{63B3BB69-23CF-44E3-9099-C40C66FF867C}">
                  <a14:compatExt spid="_x0000_s100652"/>
                </a:ext>
                <a:ext uri="{FF2B5EF4-FFF2-40B4-BE49-F238E27FC236}">
                  <a16:creationId xmlns:a16="http://schemas.microsoft.com/office/drawing/2014/main" id="{00000000-0008-0000-0100-00002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228600</xdr:colOff>
          <xdr:row>202</xdr:row>
          <xdr:rowOff>228600</xdr:rowOff>
        </xdr:from>
        <xdr:to>
          <xdr:col>12</xdr:col>
          <xdr:colOff>447675</xdr:colOff>
          <xdr:row>203</xdr:row>
          <xdr:rowOff>333375</xdr:rowOff>
        </xdr:to>
        <xdr:sp macro="" textlink="">
          <xdr:nvSpPr>
            <xdr:cNvPr id="100653" name="Check Box 301" hidden="1">
              <a:extLst>
                <a:ext uri="{63B3BB69-23CF-44E3-9099-C40C66FF867C}">
                  <a14:compatExt spid="_x0000_s100653"/>
                </a:ext>
                <a:ext uri="{FF2B5EF4-FFF2-40B4-BE49-F238E27FC236}">
                  <a16:creationId xmlns:a16="http://schemas.microsoft.com/office/drawing/2014/main" id="{00000000-0008-0000-0100-00002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204</xdr:row>
          <xdr:rowOff>0</xdr:rowOff>
        </xdr:from>
        <xdr:to>
          <xdr:col>12</xdr:col>
          <xdr:colOff>438150</xdr:colOff>
          <xdr:row>204</xdr:row>
          <xdr:rowOff>152400</xdr:rowOff>
        </xdr:to>
        <xdr:sp macro="" textlink="">
          <xdr:nvSpPr>
            <xdr:cNvPr id="100654" name="Check Box 302" hidden="1">
              <a:extLst>
                <a:ext uri="{63B3BB69-23CF-44E3-9099-C40C66FF867C}">
                  <a14:compatExt spid="_x0000_s100654"/>
                </a:ext>
                <a:ext uri="{FF2B5EF4-FFF2-40B4-BE49-F238E27FC236}">
                  <a16:creationId xmlns:a16="http://schemas.microsoft.com/office/drawing/2014/main" id="{00000000-0008-0000-0100-00002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523875</xdr:colOff>
          <xdr:row>99</xdr:row>
          <xdr:rowOff>76200</xdr:rowOff>
        </xdr:from>
        <xdr:to>
          <xdr:col>5</xdr:col>
          <xdr:colOff>428625</xdr:colOff>
          <xdr:row>99</xdr:row>
          <xdr:rowOff>609600</xdr:rowOff>
        </xdr:to>
        <xdr:sp macro="" textlink="">
          <xdr:nvSpPr>
            <xdr:cNvPr id="100656" name="Check Box 304" hidden="1">
              <a:extLst>
                <a:ext uri="{63B3BB69-23CF-44E3-9099-C40C66FF867C}">
                  <a14:compatExt spid="_x0000_s100656"/>
                </a:ext>
                <a:ext uri="{FF2B5EF4-FFF2-40B4-BE49-F238E27FC236}">
                  <a16:creationId xmlns:a16="http://schemas.microsoft.com/office/drawing/2014/main" id="{00000000-0008-0000-0100-00003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285750</xdr:colOff>
          <xdr:row>100</xdr:row>
          <xdr:rowOff>0</xdr:rowOff>
        </xdr:from>
        <xdr:to>
          <xdr:col>5</xdr:col>
          <xdr:colOff>190500</xdr:colOff>
          <xdr:row>100</xdr:row>
          <xdr:rowOff>133350</xdr:rowOff>
        </xdr:to>
        <xdr:sp macro="" textlink="">
          <xdr:nvSpPr>
            <xdr:cNvPr id="100657" name="Check Box 305" hidden="1">
              <a:extLst>
                <a:ext uri="{63B3BB69-23CF-44E3-9099-C40C66FF867C}">
                  <a14:compatExt spid="_x0000_s100657"/>
                </a:ext>
                <a:ext uri="{FF2B5EF4-FFF2-40B4-BE49-F238E27FC236}">
                  <a16:creationId xmlns:a16="http://schemas.microsoft.com/office/drawing/2014/main" id="{00000000-0008-0000-0100-00003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276225</xdr:colOff>
          <xdr:row>100</xdr:row>
          <xdr:rowOff>438150</xdr:rowOff>
        </xdr:from>
        <xdr:to>
          <xdr:col>4</xdr:col>
          <xdr:colOff>590550</xdr:colOff>
          <xdr:row>100</xdr:row>
          <xdr:rowOff>733425</xdr:rowOff>
        </xdr:to>
        <xdr:sp macro="" textlink="">
          <xdr:nvSpPr>
            <xdr:cNvPr id="100658" name="Check Box 306" hidden="1">
              <a:extLst>
                <a:ext uri="{63B3BB69-23CF-44E3-9099-C40C66FF867C}">
                  <a14:compatExt spid="_x0000_s100658"/>
                </a:ext>
                <a:ext uri="{FF2B5EF4-FFF2-40B4-BE49-F238E27FC236}">
                  <a16:creationId xmlns:a16="http://schemas.microsoft.com/office/drawing/2014/main" id="{00000000-0008-0000-0100-00003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101</xdr:row>
          <xdr:rowOff>114300</xdr:rowOff>
        </xdr:from>
        <xdr:to>
          <xdr:col>5</xdr:col>
          <xdr:colOff>228600</xdr:colOff>
          <xdr:row>102</xdr:row>
          <xdr:rowOff>133350</xdr:rowOff>
        </xdr:to>
        <xdr:sp macro="" textlink="">
          <xdr:nvSpPr>
            <xdr:cNvPr id="100659" name="Check Box 307" hidden="1">
              <a:extLst>
                <a:ext uri="{63B3BB69-23CF-44E3-9099-C40C66FF867C}">
                  <a14:compatExt spid="_x0000_s100659"/>
                </a:ext>
                <a:ext uri="{FF2B5EF4-FFF2-40B4-BE49-F238E27FC236}">
                  <a16:creationId xmlns:a16="http://schemas.microsoft.com/office/drawing/2014/main" id="{00000000-0008-0000-0100-00003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103</xdr:row>
          <xdr:rowOff>19050</xdr:rowOff>
        </xdr:from>
        <xdr:to>
          <xdr:col>5</xdr:col>
          <xdr:colOff>228600</xdr:colOff>
          <xdr:row>103</xdr:row>
          <xdr:rowOff>152400</xdr:rowOff>
        </xdr:to>
        <xdr:sp macro="" textlink="">
          <xdr:nvSpPr>
            <xdr:cNvPr id="100660" name="Check Box 308" hidden="1">
              <a:extLst>
                <a:ext uri="{63B3BB69-23CF-44E3-9099-C40C66FF867C}">
                  <a14:compatExt spid="_x0000_s100660"/>
                </a:ext>
                <a:ext uri="{FF2B5EF4-FFF2-40B4-BE49-F238E27FC236}">
                  <a16:creationId xmlns:a16="http://schemas.microsoft.com/office/drawing/2014/main" id="{00000000-0008-0000-0100-00003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103</xdr:row>
          <xdr:rowOff>342900</xdr:rowOff>
        </xdr:from>
        <xdr:to>
          <xdr:col>5</xdr:col>
          <xdr:colOff>228600</xdr:colOff>
          <xdr:row>104</xdr:row>
          <xdr:rowOff>114300</xdr:rowOff>
        </xdr:to>
        <xdr:sp macro="" textlink="">
          <xdr:nvSpPr>
            <xdr:cNvPr id="100661" name="Check Box 309" hidden="1">
              <a:extLst>
                <a:ext uri="{63B3BB69-23CF-44E3-9099-C40C66FF867C}">
                  <a14:compatExt spid="_x0000_s100661"/>
                </a:ext>
                <a:ext uri="{FF2B5EF4-FFF2-40B4-BE49-F238E27FC236}">
                  <a16:creationId xmlns:a16="http://schemas.microsoft.com/office/drawing/2014/main" id="{00000000-0008-0000-0100-00003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103</xdr:row>
          <xdr:rowOff>190500</xdr:rowOff>
        </xdr:from>
        <xdr:to>
          <xdr:col>5</xdr:col>
          <xdr:colOff>228600</xdr:colOff>
          <xdr:row>103</xdr:row>
          <xdr:rowOff>695325</xdr:rowOff>
        </xdr:to>
        <xdr:sp macro="" textlink="">
          <xdr:nvSpPr>
            <xdr:cNvPr id="100662" name="Check Box 310" hidden="1">
              <a:extLst>
                <a:ext uri="{63B3BB69-23CF-44E3-9099-C40C66FF867C}">
                  <a14:compatExt spid="_x0000_s100662"/>
                </a:ext>
                <a:ext uri="{FF2B5EF4-FFF2-40B4-BE49-F238E27FC236}">
                  <a16:creationId xmlns:a16="http://schemas.microsoft.com/office/drawing/2014/main" id="{00000000-0008-0000-0100-00003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104</xdr:row>
          <xdr:rowOff>9525</xdr:rowOff>
        </xdr:from>
        <xdr:to>
          <xdr:col>6</xdr:col>
          <xdr:colOff>228600</xdr:colOff>
          <xdr:row>104</xdr:row>
          <xdr:rowOff>152400</xdr:rowOff>
        </xdr:to>
        <xdr:sp macro="" textlink="">
          <xdr:nvSpPr>
            <xdr:cNvPr id="100663" name="Check Box 311" hidden="1">
              <a:extLst>
                <a:ext uri="{63B3BB69-23CF-44E3-9099-C40C66FF867C}">
                  <a14:compatExt spid="_x0000_s100663"/>
                </a:ext>
                <a:ext uri="{FF2B5EF4-FFF2-40B4-BE49-F238E27FC236}">
                  <a16:creationId xmlns:a16="http://schemas.microsoft.com/office/drawing/2014/main" id="{00000000-0008-0000-0100-00003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304800</xdr:colOff>
          <xdr:row>105</xdr:row>
          <xdr:rowOff>0</xdr:rowOff>
        </xdr:from>
        <xdr:to>
          <xdr:col>4</xdr:col>
          <xdr:colOff>561975</xdr:colOff>
          <xdr:row>105</xdr:row>
          <xdr:rowOff>209550</xdr:rowOff>
        </xdr:to>
        <xdr:sp macro="" textlink="">
          <xdr:nvSpPr>
            <xdr:cNvPr id="100664" name="Check Box 312" hidden="1">
              <a:extLst>
                <a:ext uri="{63B3BB69-23CF-44E3-9099-C40C66FF867C}">
                  <a14:compatExt spid="_x0000_s100664"/>
                </a:ext>
                <a:ext uri="{FF2B5EF4-FFF2-40B4-BE49-F238E27FC236}">
                  <a16:creationId xmlns:a16="http://schemas.microsoft.com/office/drawing/2014/main" id="{00000000-0008-0000-0100-00003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295275</xdr:colOff>
          <xdr:row>105</xdr:row>
          <xdr:rowOff>514350</xdr:rowOff>
        </xdr:from>
        <xdr:to>
          <xdr:col>4</xdr:col>
          <xdr:colOff>600075</xdr:colOff>
          <xdr:row>105</xdr:row>
          <xdr:rowOff>704850</xdr:rowOff>
        </xdr:to>
        <xdr:sp macro="" textlink="">
          <xdr:nvSpPr>
            <xdr:cNvPr id="100665" name="Check Box 313" hidden="1">
              <a:extLst>
                <a:ext uri="{63B3BB69-23CF-44E3-9099-C40C66FF867C}">
                  <a14:compatExt spid="_x0000_s100665"/>
                </a:ext>
                <a:ext uri="{FF2B5EF4-FFF2-40B4-BE49-F238E27FC236}">
                  <a16:creationId xmlns:a16="http://schemas.microsoft.com/office/drawing/2014/main" id="{00000000-0008-0000-0100-00003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116</xdr:row>
          <xdr:rowOff>266700</xdr:rowOff>
        </xdr:from>
        <xdr:to>
          <xdr:col>10</xdr:col>
          <xdr:colOff>19050</xdr:colOff>
          <xdr:row>116</xdr:row>
          <xdr:rowOff>809625</xdr:rowOff>
        </xdr:to>
        <xdr:sp macro="" textlink="">
          <xdr:nvSpPr>
            <xdr:cNvPr id="100667" name="Check Box 315" hidden="1">
              <a:extLst>
                <a:ext uri="{63B3BB69-23CF-44E3-9099-C40C66FF867C}">
                  <a14:compatExt spid="_x0000_s100667"/>
                </a:ext>
                <a:ext uri="{FF2B5EF4-FFF2-40B4-BE49-F238E27FC236}">
                  <a16:creationId xmlns:a16="http://schemas.microsoft.com/office/drawing/2014/main" id="{00000000-0008-0000-0100-00003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152400</xdr:colOff>
          <xdr:row>118</xdr:row>
          <xdr:rowOff>552450</xdr:rowOff>
        </xdr:from>
        <xdr:to>
          <xdr:col>9</xdr:col>
          <xdr:colOff>390525</xdr:colOff>
          <xdr:row>118</xdr:row>
          <xdr:rowOff>723900</xdr:rowOff>
        </xdr:to>
        <xdr:sp macro="" textlink="">
          <xdr:nvSpPr>
            <xdr:cNvPr id="100675" name="Check Box 323" hidden="1">
              <a:extLst>
                <a:ext uri="{63B3BB69-23CF-44E3-9099-C40C66FF867C}">
                  <a14:compatExt spid="_x0000_s100675"/>
                </a:ext>
                <a:ext uri="{FF2B5EF4-FFF2-40B4-BE49-F238E27FC236}">
                  <a16:creationId xmlns:a16="http://schemas.microsoft.com/office/drawing/2014/main" id="{00000000-0008-0000-0100-00004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123825</xdr:colOff>
          <xdr:row>120</xdr:row>
          <xdr:rowOff>504825</xdr:rowOff>
        </xdr:from>
        <xdr:to>
          <xdr:col>9</xdr:col>
          <xdr:colOff>390525</xdr:colOff>
          <xdr:row>120</xdr:row>
          <xdr:rowOff>733425</xdr:rowOff>
        </xdr:to>
        <xdr:sp macro="" textlink="">
          <xdr:nvSpPr>
            <xdr:cNvPr id="100678" name="Check Box 326" hidden="1">
              <a:extLst>
                <a:ext uri="{63B3BB69-23CF-44E3-9099-C40C66FF867C}">
                  <a14:compatExt spid="_x0000_s100678"/>
                </a:ext>
                <a:ext uri="{FF2B5EF4-FFF2-40B4-BE49-F238E27FC236}">
                  <a16:creationId xmlns:a16="http://schemas.microsoft.com/office/drawing/2014/main" id="{00000000-0008-0000-0100-00004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180975</xdr:colOff>
          <xdr:row>122</xdr:row>
          <xdr:rowOff>600075</xdr:rowOff>
        </xdr:from>
        <xdr:to>
          <xdr:col>9</xdr:col>
          <xdr:colOff>457200</xdr:colOff>
          <xdr:row>122</xdr:row>
          <xdr:rowOff>904875</xdr:rowOff>
        </xdr:to>
        <xdr:sp macro="" textlink="">
          <xdr:nvSpPr>
            <xdr:cNvPr id="100680" name="Check Box 328" hidden="1">
              <a:extLst>
                <a:ext uri="{63B3BB69-23CF-44E3-9099-C40C66FF867C}">
                  <a14:compatExt spid="_x0000_s100680"/>
                </a:ext>
                <a:ext uri="{FF2B5EF4-FFF2-40B4-BE49-F238E27FC236}">
                  <a16:creationId xmlns:a16="http://schemas.microsoft.com/office/drawing/2014/main" id="{00000000-0008-0000-0100-00004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148</xdr:row>
          <xdr:rowOff>19050</xdr:rowOff>
        </xdr:from>
        <xdr:to>
          <xdr:col>2</xdr:col>
          <xdr:colOff>228600</xdr:colOff>
          <xdr:row>148</xdr:row>
          <xdr:rowOff>381000</xdr:rowOff>
        </xdr:to>
        <xdr:sp macro="" textlink="">
          <xdr:nvSpPr>
            <xdr:cNvPr id="100686" name="Check Box 334" hidden="1">
              <a:extLst>
                <a:ext uri="{63B3BB69-23CF-44E3-9099-C40C66FF867C}">
                  <a14:compatExt spid="_x0000_s100686"/>
                </a:ext>
                <a:ext uri="{FF2B5EF4-FFF2-40B4-BE49-F238E27FC236}">
                  <a16:creationId xmlns:a16="http://schemas.microsoft.com/office/drawing/2014/main" id="{00000000-0008-0000-0100-00004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148</xdr:row>
          <xdr:rowOff>47625</xdr:rowOff>
        </xdr:from>
        <xdr:to>
          <xdr:col>5</xdr:col>
          <xdr:colOff>581025</xdr:colOff>
          <xdr:row>148</xdr:row>
          <xdr:rowOff>409575</xdr:rowOff>
        </xdr:to>
        <xdr:sp macro="" textlink="">
          <xdr:nvSpPr>
            <xdr:cNvPr id="100687" name="Check Box 335" hidden="1">
              <a:extLst>
                <a:ext uri="{63B3BB69-23CF-44E3-9099-C40C66FF867C}">
                  <a14:compatExt spid="_x0000_s100687"/>
                </a:ext>
                <a:ext uri="{FF2B5EF4-FFF2-40B4-BE49-F238E27FC236}">
                  <a16:creationId xmlns:a16="http://schemas.microsoft.com/office/drawing/2014/main" id="{00000000-0008-0000-0100-00004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148</xdr:row>
          <xdr:rowOff>38100</xdr:rowOff>
        </xdr:from>
        <xdr:to>
          <xdr:col>10</xdr:col>
          <xdr:colOff>323850</xdr:colOff>
          <xdr:row>148</xdr:row>
          <xdr:rowOff>400050</xdr:rowOff>
        </xdr:to>
        <xdr:sp macro="" textlink="">
          <xdr:nvSpPr>
            <xdr:cNvPr id="100688" name="Check Box 336" hidden="1">
              <a:extLst>
                <a:ext uri="{63B3BB69-23CF-44E3-9099-C40C66FF867C}">
                  <a14:compatExt spid="_x0000_s100688"/>
                </a:ext>
                <a:ext uri="{FF2B5EF4-FFF2-40B4-BE49-F238E27FC236}">
                  <a16:creationId xmlns:a16="http://schemas.microsoft.com/office/drawing/2014/main" id="{00000000-0008-0000-0100-00005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257175</xdr:colOff>
          <xdr:row>144</xdr:row>
          <xdr:rowOff>28575</xdr:rowOff>
        </xdr:from>
        <xdr:to>
          <xdr:col>10</xdr:col>
          <xdr:colOff>123825</xdr:colOff>
          <xdr:row>144</xdr:row>
          <xdr:rowOff>390525</xdr:rowOff>
        </xdr:to>
        <xdr:sp macro="" textlink="">
          <xdr:nvSpPr>
            <xdr:cNvPr id="100689" name="Check Box 337" hidden="1">
              <a:extLst>
                <a:ext uri="{63B3BB69-23CF-44E3-9099-C40C66FF867C}">
                  <a14:compatExt spid="_x0000_s100689"/>
                </a:ext>
                <a:ext uri="{FF2B5EF4-FFF2-40B4-BE49-F238E27FC236}">
                  <a16:creationId xmlns:a16="http://schemas.microsoft.com/office/drawing/2014/main" id="{00000000-0008-0000-0100-00005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190500</xdr:colOff>
          <xdr:row>144</xdr:row>
          <xdr:rowOff>28575</xdr:rowOff>
        </xdr:from>
        <xdr:to>
          <xdr:col>5</xdr:col>
          <xdr:colOff>590550</xdr:colOff>
          <xdr:row>144</xdr:row>
          <xdr:rowOff>390525</xdr:rowOff>
        </xdr:to>
        <xdr:sp macro="" textlink="">
          <xdr:nvSpPr>
            <xdr:cNvPr id="100690" name="Check Box 338" hidden="1">
              <a:extLst>
                <a:ext uri="{63B3BB69-23CF-44E3-9099-C40C66FF867C}">
                  <a14:compatExt spid="_x0000_s100690"/>
                </a:ext>
                <a:ext uri="{FF2B5EF4-FFF2-40B4-BE49-F238E27FC236}">
                  <a16:creationId xmlns:a16="http://schemas.microsoft.com/office/drawing/2014/main" id="{00000000-0008-0000-0100-00005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190500</xdr:colOff>
          <xdr:row>144</xdr:row>
          <xdr:rowOff>19050</xdr:rowOff>
        </xdr:from>
        <xdr:to>
          <xdr:col>2</xdr:col>
          <xdr:colOff>285750</xdr:colOff>
          <xdr:row>144</xdr:row>
          <xdr:rowOff>381000</xdr:rowOff>
        </xdr:to>
        <xdr:sp macro="" textlink="">
          <xdr:nvSpPr>
            <xdr:cNvPr id="100691" name="Check Box 339" hidden="1">
              <a:extLst>
                <a:ext uri="{63B3BB69-23CF-44E3-9099-C40C66FF867C}">
                  <a14:compatExt spid="_x0000_s100691"/>
                </a:ext>
                <a:ext uri="{FF2B5EF4-FFF2-40B4-BE49-F238E27FC236}">
                  <a16:creationId xmlns:a16="http://schemas.microsoft.com/office/drawing/2014/main" id="{00000000-0008-0000-0100-00005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123825</xdr:colOff>
          <xdr:row>140</xdr:row>
          <xdr:rowOff>28575</xdr:rowOff>
        </xdr:from>
        <xdr:to>
          <xdr:col>2</xdr:col>
          <xdr:colOff>209550</xdr:colOff>
          <xdr:row>140</xdr:row>
          <xdr:rowOff>390525</xdr:rowOff>
        </xdr:to>
        <xdr:sp macro="" textlink="">
          <xdr:nvSpPr>
            <xdr:cNvPr id="100692" name="Check Box 340" hidden="1">
              <a:extLst>
                <a:ext uri="{63B3BB69-23CF-44E3-9099-C40C66FF867C}">
                  <a14:compatExt spid="_x0000_s100692"/>
                </a:ext>
                <a:ext uri="{FF2B5EF4-FFF2-40B4-BE49-F238E27FC236}">
                  <a16:creationId xmlns:a16="http://schemas.microsoft.com/office/drawing/2014/main" id="{00000000-0008-0000-0100-00005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140</xdr:row>
          <xdr:rowOff>28575</xdr:rowOff>
        </xdr:from>
        <xdr:to>
          <xdr:col>5</xdr:col>
          <xdr:colOff>561975</xdr:colOff>
          <xdr:row>140</xdr:row>
          <xdr:rowOff>390525</xdr:rowOff>
        </xdr:to>
        <xdr:sp macro="" textlink="">
          <xdr:nvSpPr>
            <xdr:cNvPr id="100693" name="Check Box 341" hidden="1">
              <a:extLst>
                <a:ext uri="{63B3BB69-23CF-44E3-9099-C40C66FF867C}">
                  <a14:compatExt spid="_x0000_s100693"/>
                </a:ext>
                <a:ext uri="{FF2B5EF4-FFF2-40B4-BE49-F238E27FC236}">
                  <a16:creationId xmlns:a16="http://schemas.microsoft.com/office/drawing/2014/main" id="{00000000-0008-0000-0100-00005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266700</xdr:colOff>
          <xdr:row>140</xdr:row>
          <xdr:rowOff>19050</xdr:rowOff>
        </xdr:from>
        <xdr:to>
          <xdr:col>10</xdr:col>
          <xdr:colOff>142875</xdr:colOff>
          <xdr:row>140</xdr:row>
          <xdr:rowOff>381000</xdr:rowOff>
        </xdr:to>
        <xdr:sp macro="" textlink="">
          <xdr:nvSpPr>
            <xdr:cNvPr id="100694" name="Check Box 342" hidden="1">
              <a:extLst>
                <a:ext uri="{63B3BB69-23CF-44E3-9099-C40C66FF867C}">
                  <a14:compatExt spid="_x0000_s100694"/>
                </a:ext>
                <a:ext uri="{FF2B5EF4-FFF2-40B4-BE49-F238E27FC236}">
                  <a16:creationId xmlns:a16="http://schemas.microsoft.com/office/drawing/2014/main" id="{00000000-0008-0000-0100-00005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127</xdr:row>
          <xdr:rowOff>76200</xdr:rowOff>
        </xdr:from>
        <xdr:to>
          <xdr:col>2</xdr:col>
          <xdr:colOff>209550</xdr:colOff>
          <xdr:row>127</xdr:row>
          <xdr:rowOff>304800</xdr:rowOff>
        </xdr:to>
        <xdr:sp macro="" textlink="">
          <xdr:nvSpPr>
            <xdr:cNvPr id="100701" name="Check Box 349" hidden="1">
              <a:extLst>
                <a:ext uri="{63B3BB69-23CF-44E3-9099-C40C66FF867C}">
                  <a14:compatExt spid="_x0000_s100701"/>
                </a:ext>
                <a:ext uri="{FF2B5EF4-FFF2-40B4-BE49-F238E27FC236}">
                  <a16:creationId xmlns:a16="http://schemas.microsoft.com/office/drawing/2014/main" id="{00000000-0008-0000-0100-00005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127</xdr:row>
          <xdr:rowOff>76200</xdr:rowOff>
        </xdr:from>
        <xdr:to>
          <xdr:col>5</xdr:col>
          <xdr:colOff>552450</xdr:colOff>
          <xdr:row>127</xdr:row>
          <xdr:rowOff>304800</xdr:rowOff>
        </xdr:to>
        <xdr:sp macro="" textlink="">
          <xdr:nvSpPr>
            <xdr:cNvPr id="100702" name="Check Box 350" hidden="1">
              <a:extLst>
                <a:ext uri="{63B3BB69-23CF-44E3-9099-C40C66FF867C}">
                  <a14:compatExt spid="_x0000_s100702"/>
                </a:ext>
                <a:ext uri="{FF2B5EF4-FFF2-40B4-BE49-F238E27FC236}">
                  <a16:creationId xmlns:a16="http://schemas.microsoft.com/office/drawing/2014/main" id="{00000000-0008-0000-0100-00005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190500</xdr:colOff>
          <xdr:row>127</xdr:row>
          <xdr:rowOff>76200</xdr:rowOff>
        </xdr:from>
        <xdr:to>
          <xdr:col>10</xdr:col>
          <xdr:colOff>66675</xdr:colOff>
          <xdr:row>127</xdr:row>
          <xdr:rowOff>304800</xdr:rowOff>
        </xdr:to>
        <xdr:sp macro="" textlink="">
          <xdr:nvSpPr>
            <xdr:cNvPr id="100703" name="Check Box 351" hidden="1">
              <a:extLst>
                <a:ext uri="{63B3BB69-23CF-44E3-9099-C40C66FF867C}">
                  <a14:compatExt spid="_x0000_s100703"/>
                </a:ext>
                <a:ext uri="{FF2B5EF4-FFF2-40B4-BE49-F238E27FC236}">
                  <a16:creationId xmlns:a16="http://schemas.microsoft.com/office/drawing/2014/main" id="{00000000-0008-0000-0100-00005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165</xdr:row>
          <xdr:rowOff>171450</xdr:rowOff>
        </xdr:from>
        <xdr:to>
          <xdr:col>7</xdr:col>
          <xdr:colOff>19050</xdr:colOff>
          <xdr:row>166</xdr:row>
          <xdr:rowOff>161925</xdr:rowOff>
        </xdr:to>
        <xdr:sp macro="" textlink="">
          <xdr:nvSpPr>
            <xdr:cNvPr id="100710" name="Check Box 358" hidden="1">
              <a:extLst>
                <a:ext uri="{63B3BB69-23CF-44E3-9099-C40C66FF867C}">
                  <a14:compatExt spid="_x0000_s100710"/>
                </a:ext>
                <a:ext uri="{FF2B5EF4-FFF2-40B4-BE49-F238E27FC236}">
                  <a16:creationId xmlns:a16="http://schemas.microsoft.com/office/drawing/2014/main" id="{00000000-0008-0000-0100-00006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704850</xdr:colOff>
          <xdr:row>165</xdr:row>
          <xdr:rowOff>0</xdr:rowOff>
        </xdr:from>
        <xdr:to>
          <xdr:col>11</xdr:col>
          <xdr:colOff>457200</xdr:colOff>
          <xdr:row>165</xdr:row>
          <xdr:rowOff>361950</xdr:rowOff>
        </xdr:to>
        <xdr:sp macro="" textlink="">
          <xdr:nvSpPr>
            <xdr:cNvPr id="100711" name="Check Box 359" hidden="1">
              <a:extLst>
                <a:ext uri="{63B3BB69-23CF-44E3-9099-C40C66FF867C}">
                  <a14:compatExt spid="_x0000_s100711"/>
                </a:ext>
                <a:ext uri="{FF2B5EF4-FFF2-40B4-BE49-F238E27FC236}">
                  <a16:creationId xmlns:a16="http://schemas.microsoft.com/office/drawing/2014/main" id="{00000000-0008-0000-0100-00006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167</xdr:row>
          <xdr:rowOff>171450</xdr:rowOff>
        </xdr:from>
        <xdr:to>
          <xdr:col>7</xdr:col>
          <xdr:colOff>19050</xdr:colOff>
          <xdr:row>168</xdr:row>
          <xdr:rowOff>209550</xdr:rowOff>
        </xdr:to>
        <xdr:sp macro="" textlink="">
          <xdr:nvSpPr>
            <xdr:cNvPr id="100712" name="Check Box 360" hidden="1">
              <a:extLst>
                <a:ext uri="{63B3BB69-23CF-44E3-9099-C40C66FF867C}">
                  <a14:compatExt spid="_x0000_s100712"/>
                </a:ext>
                <a:ext uri="{FF2B5EF4-FFF2-40B4-BE49-F238E27FC236}">
                  <a16:creationId xmlns:a16="http://schemas.microsoft.com/office/drawing/2014/main" id="{00000000-0008-0000-0100-00006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704850</xdr:colOff>
          <xdr:row>167</xdr:row>
          <xdr:rowOff>47625</xdr:rowOff>
        </xdr:from>
        <xdr:to>
          <xdr:col>11</xdr:col>
          <xdr:colOff>466725</xdr:colOff>
          <xdr:row>168</xdr:row>
          <xdr:rowOff>95250</xdr:rowOff>
        </xdr:to>
        <xdr:sp macro="" textlink="">
          <xdr:nvSpPr>
            <xdr:cNvPr id="100713" name="Check Box 361" hidden="1">
              <a:extLst>
                <a:ext uri="{63B3BB69-23CF-44E3-9099-C40C66FF867C}">
                  <a14:compatExt spid="_x0000_s100713"/>
                </a:ext>
                <a:ext uri="{FF2B5EF4-FFF2-40B4-BE49-F238E27FC236}">
                  <a16:creationId xmlns:a16="http://schemas.microsoft.com/office/drawing/2014/main" id="{00000000-0008-0000-0100-00006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47625</xdr:colOff>
          <xdr:row>170</xdr:row>
          <xdr:rowOff>114300</xdr:rowOff>
        </xdr:from>
        <xdr:to>
          <xdr:col>7</xdr:col>
          <xdr:colOff>38100</xdr:colOff>
          <xdr:row>171</xdr:row>
          <xdr:rowOff>114300</xdr:rowOff>
        </xdr:to>
        <xdr:sp macro="" textlink="">
          <xdr:nvSpPr>
            <xdr:cNvPr id="100714" name="Check Box 362" hidden="1">
              <a:extLst>
                <a:ext uri="{63B3BB69-23CF-44E3-9099-C40C66FF867C}">
                  <a14:compatExt spid="_x0000_s100714"/>
                </a:ext>
                <a:ext uri="{FF2B5EF4-FFF2-40B4-BE49-F238E27FC236}">
                  <a16:creationId xmlns:a16="http://schemas.microsoft.com/office/drawing/2014/main" id="{00000000-0008-0000-0100-00006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666750</xdr:colOff>
          <xdr:row>170</xdr:row>
          <xdr:rowOff>104775</xdr:rowOff>
        </xdr:from>
        <xdr:to>
          <xdr:col>11</xdr:col>
          <xdr:colOff>114300</xdr:colOff>
          <xdr:row>170</xdr:row>
          <xdr:rowOff>266700</xdr:rowOff>
        </xdr:to>
        <xdr:sp macro="" textlink="">
          <xdr:nvSpPr>
            <xdr:cNvPr id="100715" name="Check Box 363" hidden="1">
              <a:extLst>
                <a:ext uri="{63B3BB69-23CF-44E3-9099-C40C66FF867C}">
                  <a14:compatExt spid="_x0000_s100715"/>
                </a:ext>
                <a:ext uri="{FF2B5EF4-FFF2-40B4-BE49-F238E27FC236}">
                  <a16:creationId xmlns:a16="http://schemas.microsoft.com/office/drawing/2014/main" id="{00000000-0008-0000-0100-00006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172</xdr:row>
          <xdr:rowOff>304800</xdr:rowOff>
        </xdr:from>
        <xdr:to>
          <xdr:col>7</xdr:col>
          <xdr:colOff>57150</xdr:colOff>
          <xdr:row>173</xdr:row>
          <xdr:rowOff>152400</xdr:rowOff>
        </xdr:to>
        <xdr:sp macro="" textlink="">
          <xdr:nvSpPr>
            <xdr:cNvPr id="100716" name="Check Box 364" hidden="1">
              <a:extLst>
                <a:ext uri="{63B3BB69-23CF-44E3-9099-C40C66FF867C}">
                  <a14:compatExt spid="_x0000_s100716"/>
                </a:ext>
                <a:ext uri="{FF2B5EF4-FFF2-40B4-BE49-F238E27FC236}">
                  <a16:creationId xmlns:a16="http://schemas.microsoft.com/office/drawing/2014/main" id="{00000000-0008-0000-0100-00006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666750</xdr:colOff>
          <xdr:row>172</xdr:row>
          <xdr:rowOff>228600</xdr:rowOff>
        </xdr:from>
        <xdr:to>
          <xdr:col>11</xdr:col>
          <xdr:colOff>419100</xdr:colOff>
          <xdr:row>173</xdr:row>
          <xdr:rowOff>152400</xdr:rowOff>
        </xdr:to>
        <xdr:sp macro="" textlink="">
          <xdr:nvSpPr>
            <xdr:cNvPr id="100717" name="Check Box 365" hidden="1">
              <a:extLst>
                <a:ext uri="{63B3BB69-23CF-44E3-9099-C40C66FF867C}">
                  <a14:compatExt spid="_x0000_s100717"/>
                </a:ext>
                <a:ext uri="{FF2B5EF4-FFF2-40B4-BE49-F238E27FC236}">
                  <a16:creationId xmlns:a16="http://schemas.microsoft.com/office/drawing/2014/main" id="{00000000-0008-0000-0100-00006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57150</xdr:colOff>
          <xdr:row>174</xdr:row>
          <xdr:rowOff>342900</xdr:rowOff>
        </xdr:from>
        <xdr:to>
          <xdr:col>7</xdr:col>
          <xdr:colOff>38100</xdr:colOff>
          <xdr:row>175</xdr:row>
          <xdr:rowOff>161925</xdr:rowOff>
        </xdr:to>
        <xdr:sp macro="" textlink="">
          <xdr:nvSpPr>
            <xdr:cNvPr id="100718" name="Check Box 366" hidden="1">
              <a:extLst>
                <a:ext uri="{63B3BB69-23CF-44E3-9099-C40C66FF867C}">
                  <a14:compatExt spid="_x0000_s100718"/>
                </a:ext>
                <a:ext uri="{FF2B5EF4-FFF2-40B4-BE49-F238E27FC236}">
                  <a16:creationId xmlns:a16="http://schemas.microsoft.com/office/drawing/2014/main" id="{00000000-0008-0000-0100-00006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638175</xdr:colOff>
          <xdr:row>174</xdr:row>
          <xdr:rowOff>238125</xdr:rowOff>
        </xdr:from>
        <xdr:to>
          <xdr:col>11</xdr:col>
          <xdr:colOff>400050</xdr:colOff>
          <xdr:row>175</xdr:row>
          <xdr:rowOff>161925</xdr:rowOff>
        </xdr:to>
        <xdr:sp macro="" textlink="">
          <xdr:nvSpPr>
            <xdr:cNvPr id="100719" name="Check Box 367" hidden="1">
              <a:extLst>
                <a:ext uri="{63B3BB69-23CF-44E3-9099-C40C66FF867C}">
                  <a14:compatExt spid="_x0000_s100719"/>
                </a:ext>
                <a:ext uri="{FF2B5EF4-FFF2-40B4-BE49-F238E27FC236}">
                  <a16:creationId xmlns:a16="http://schemas.microsoft.com/office/drawing/2014/main" id="{00000000-0008-0000-0100-00006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176</xdr:row>
          <xdr:rowOff>238125</xdr:rowOff>
        </xdr:from>
        <xdr:to>
          <xdr:col>6</xdr:col>
          <xdr:colOff>390525</xdr:colOff>
          <xdr:row>176</xdr:row>
          <xdr:rowOff>400050</xdr:rowOff>
        </xdr:to>
        <xdr:sp macro="" textlink="">
          <xdr:nvSpPr>
            <xdr:cNvPr id="100720" name="Check Box 368" hidden="1">
              <a:extLst>
                <a:ext uri="{63B3BB69-23CF-44E3-9099-C40C66FF867C}">
                  <a14:compatExt spid="_x0000_s100720"/>
                </a:ext>
                <a:ext uri="{FF2B5EF4-FFF2-40B4-BE49-F238E27FC236}">
                  <a16:creationId xmlns:a16="http://schemas.microsoft.com/office/drawing/2014/main" id="{00000000-0008-0000-0100-00007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638175</xdr:colOff>
          <xdr:row>176</xdr:row>
          <xdr:rowOff>247650</xdr:rowOff>
        </xdr:from>
        <xdr:to>
          <xdr:col>11</xdr:col>
          <xdr:colOff>400050</xdr:colOff>
          <xdr:row>176</xdr:row>
          <xdr:rowOff>419100</xdr:rowOff>
        </xdr:to>
        <xdr:sp macro="" textlink="">
          <xdr:nvSpPr>
            <xdr:cNvPr id="100721" name="Check Box 369" hidden="1">
              <a:extLst>
                <a:ext uri="{63B3BB69-23CF-44E3-9099-C40C66FF867C}">
                  <a14:compatExt spid="_x0000_s100721"/>
                </a:ext>
                <a:ext uri="{FF2B5EF4-FFF2-40B4-BE49-F238E27FC236}">
                  <a16:creationId xmlns:a16="http://schemas.microsoft.com/office/drawing/2014/main" id="{00000000-0008-0000-0100-00007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133350</xdr:colOff>
          <xdr:row>154</xdr:row>
          <xdr:rowOff>352425</xdr:rowOff>
        </xdr:from>
        <xdr:to>
          <xdr:col>8</xdr:col>
          <xdr:colOff>533400</xdr:colOff>
          <xdr:row>156</xdr:row>
          <xdr:rowOff>9525</xdr:rowOff>
        </xdr:to>
        <xdr:sp macro="" textlink="">
          <xdr:nvSpPr>
            <xdr:cNvPr id="100722" name="Check Box 370" hidden="1">
              <a:extLst>
                <a:ext uri="{63B3BB69-23CF-44E3-9099-C40C66FF867C}">
                  <a14:compatExt spid="_x0000_s100722"/>
                </a:ext>
                <a:ext uri="{FF2B5EF4-FFF2-40B4-BE49-F238E27FC236}">
                  <a16:creationId xmlns:a16="http://schemas.microsoft.com/office/drawing/2014/main" id="{00000000-0008-0000-0100-00007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95250</xdr:colOff>
          <xdr:row>155</xdr:row>
          <xdr:rowOff>57150</xdr:rowOff>
        </xdr:from>
        <xdr:to>
          <xdr:col>4</xdr:col>
          <xdr:colOff>504825</xdr:colOff>
          <xdr:row>155</xdr:row>
          <xdr:rowOff>419100</xdr:rowOff>
        </xdr:to>
        <xdr:sp macro="" textlink="">
          <xdr:nvSpPr>
            <xdr:cNvPr id="100723" name="Check Box 371" hidden="1">
              <a:extLst>
                <a:ext uri="{63B3BB69-23CF-44E3-9099-C40C66FF867C}">
                  <a14:compatExt spid="_x0000_s100723"/>
                </a:ext>
                <a:ext uri="{FF2B5EF4-FFF2-40B4-BE49-F238E27FC236}">
                  <a16:creationId xmlns:a16="http://schemas.microsoft.com/office/drawing/2014/main" id="{00000000-0008-0000-0100-00007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56</xdr:row>
          <xdr:rowOff>0</xdr:rowOff>
        </xdr:from>
        <xdr:to>
          <xdr:col>3</xdr:col>
          <xdr:colOff>523875</xdr:colOff>
          <xdr:row>56</xdr:row>
          <xdr:rowOff>152400</xdr:rowOff>
        </xdr:to>
        <xdr:sp macro="" textlink="">
          <xdr:nvSpPr>
            <xdr:cNvPr id="100724" name="Check Box 372" hidden="1">
              <a:extLst>
                <a:ext uri="{63B3BB69-23CF-44E3-9099-C40C66FF867C}">
                  <a14:compatExt spid="_x0000_s100724"/>
                </a:ext>
                <a:ext uri="{FF2B5EF4-FFF2-40B4-BE49-F238E27FC236}">
                  <a16:creationId xmlns:a16="http://schemas.microsoft.com/office/drawing/2014/main" id="{00000000-0008-0000-0100-000074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56</xdr:row>
          <xdr:rowOff>0</xdr:rowOff>
        </xdr:from>
        <xdr:to>
          <xdr:col>7</xdr:col>
          <xdr:colOff>161925</xdr:colOff>
          <xdr:row>56</xdr:row>
          <xdr:rowOff>152400</xdr:rowOff>
        </xdr:to>
        <xdr:sp macro="" textlink="">
          <xdr:nvSpPr>
            <xdr:cNvPr id="100725" name="Check Box 373" hidden="1">
              <a:extLst>
                <a:ext uri="{63B3BB69-23CF-44E3-9099-C40C66FF867C}">
                  <a14:compatExt spid="_x0000_s100725"/>
                </a:ext>
                <a:ext uri="{FF2B5EF4-FFF2-40B4-BE49-F238E27FC236}">
                  <a16:creationId xmlns:a16="http://schemas.microsoft.com/office/drawing/2014/main" id="{00000000-0008-0000-0100-000075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56</xdr:row>
          <xdr:rowOff>0</xdr:rowOff>
        </xdr:from>
        <xdr:to>
          <xdr:col>10</xdr:col>
          <xdr:colOff>285750</xdr:colOff>
          <xdr:row>56</xdr:row>
          <xdr:rowOff>152400</xdr:rowOff>
        </xdr:to>
        <xdr:sp macro="" textlink="">
          <xdr:nvSpPr>
            <xdr:cNvPr id="100726" name="Check Box 374" hidden="1">
              <a:extLst>
                <a:ext uri="{63B3BB69-23CF-44E3-9099-C40C66FF867C}">
                  <a14:compatExt spid="_x0000_s100726"/>
                </a:ext>
                <a:ext uri="{FF2B5EF4-FFF2-40B4-BE49-F238E27FC236}">
                  <a16:creationId xmlns:a16="http://schemas.microsoft.com/office/drawing/2014/main" id="{00000000-0008-0000-0100-00007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56</xdr:row>
          <xdr:rowOff>0</xdr:rowOff>
        </xdr:from>
        <xdr:to>
          <xdr:col>12</xdr:col>
          <xdr:colOff>314325</xdr:colOff>
          <xdr:row>56</xdr:row>
          <xdr:rowOff>152400</xdr:rowOff>
        </xdr:to>
        <xdr:sp macro="" textlink="">
          <xdr:nvSpPr>
            <xdr:cNvPr id="100727" name="Check Box 375" hidden="1">
              <a:extLst>
                <a:ext uri="{63B3BB69-23CF-44E3-9099-C40C66FF867C}">
                  <a14:compatExt spid="_x0000_s100727"/>
                </a:ext>
                <a:ext uri="{FF2B5EF4-FFF2-40B4-BE49-F238E27FC236}">
                  <a16:creationId xmlns:a16="http://schemas.microsoft.com/office/drawing/2014/main" id="{00000000-0008-0000-0100-00007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219075</xdr:colOff>
          <xdr:row>193</xdr:row>
          <xdr:rowOff>114300</xdr:rowOff>
        </xdr:from>
        <xdr:to>
          <xdr:col>12</xdr:col>
          <xdr:colOff>523875</xdr:colOff>
          <xdr:row>193</xdr:row>
          <xdr:rowOff>247650</xdr:rowOff>
        </xdr:to>
        <xdr:sp macro="" textlink="">
          <xdr:nvSpPr>
            <xdr:cNvPr id="100728" name="Check Box 376" hidden="1">
              <a:extLst>
                <a:ext uri="{63B3BB69-23CF-44E3-9099-C40C66FF867C}">
                  <a14:compatExt spid="_x0000_s100728"/>
                </a:ext>
                <a:ext uri="{FF2B5EF4-FFF2-40B4-BE49-F238E27FC236}">
                  <a16:creationId xmlns:a16="http://schemas.microsoft.com/office/drawing/2014/main" id="{00000000-0008-0000-0100-000078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202</xdr:row>
          <xdr:rowOff>0</xdr:rowOff>
        </xdr:from>
        <xdr:to>
          <xdr:col>12</xdr:col>
          <xdr:colOff>542925</xdr:colOff>
          <xdr:row>202</xdr:row>
          <xdr:rowOff>133350</xdr:rowOff>
        </xdr:to>
        <xdr:sp macro="" textlink="">
          <xdr:nvSpPr>
            <xdr:cNvPr id="100729" name="Check Box 377" hidden="1">
              <a:extLst>
                <a:ext uri="{63B3BB69-23CF-44E3-9099-C40C66FF867C}">
                  <a14:compatExt spid="_x0000_s100729"/>
                </a:ext>
                <a:ext uri="{FF2B5EF4-FFF2-40B4-BE49-F238E27FC236}">
                  <a16:creationId xmlns:a16="http://schemas.microsoft.com/office/drawing/2014/main" id="{00000000-0008-0000-0100-000079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238125</xdr:colOff>
          <xdr:row>204</xdr:row>
          <xdr:rowOff>0</xdr:rowOff>
        </xdr:from>
        <xdr:to>
          <xdr:col>12</xdr:col>
          <xdr:colOff>438150</xdr:colOff>
          <xdr:row>204</xdr:row>
          <xdr:rowOff>152400</xdr:rowOff>
        </xdr:to>
        <xdr:sp macro="" textlink="">
          <xdr:nvSpPr>
            <xdr:cNvPr id="100730" name="Check Box 378" hidden="1">
              <a:extLst>
                <a:ext uri="{63B3BB69-23CF-44E3-9099-C40C66FF867C}">
                  <a14:compatExt spid="_x0000_s100730"/>
                </a:ext>
                <a:ext uri="{FF2B5EF4-FFF2-40B4-BE49-F238E27FC236}">
                  <a16:creationId xmlns:a16="http://schemas.microsoft.com/office/drawing/2014/main" id="{00000000-0008-0000-0100-00007A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523875</xdr:colOff>
          <xdr:row>99</xdr:row>
          <xdr:rowOff>9525</xdr:rowOff>
        </xdr:from>
        <xdr:to>
          <xdr:col>5</xdr:col>
          <xdr:colOff>66675</xdr:colOff>
          <xdr:row>99</xdr:row>
          <xdr:rowOff>276225</xdr:rowOff>
        </xdr:to>
        <xdr:sp macro="" textlink="">
          <xdr:nvSpPr>
            <xdr:cNvPr id="100731" name="Check Box 379" hidden="1">
              <a:extLst>
                <a:ext uri="{63B3BB69-23CF-44E3-9099-C40C66FF867C}">
                  <a14:compatExt spid="_x0000_s100731"/>
                </a:ext>
                <a:ext uri="{FF2B5EF4-FFF2-40B4-BE49-F238E27FC236}">
                  <a16:creationId xmlns:a16="http://schemas.microsoft.com/office/drawing/2014/main" id="{00000000-0008-0000-0100-00007B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285750</xdr:colOff>
          <xdr:row>100</xdr:row>
          <xdr:rowOff>0</xdr:rowOff>
        </xdr:from>
        <xdr:to>
          <xdr:col>5</xdr:col>
          <xdr:colOff>419100</xdr:colOff>
          <xdr:row>100</xdr:row>
          <xdr:rowOff>133350</xdr:rowOff>
        </xdr:to>
        <xdr:sp macro="" textlink="">
          <xdr:nvSpPr>
            <xdr:cNvPr id="100732" name="Check Box 380" hidden="1">
              <a:extLst>
                <a:ext uri="{63B3BB69-23CF-44E3-9099-C40C66FF867C}">
                  <a14:compatExt spid="_x0000_s100732"/>
                </a:ext>
                <a:ext uri="{FF2B5EF4-FFF2-40B4-BE49-F238E27FC236}">
                  <a16:creationId xmlns:a16="http://schemas.microsoft.com/office/drawing/2014/main" id="{00000000-0008-0000-0100-00007C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276225</xdr:colOff>
          <xdr:row>100</xdr:row>
          <xdr:rowOff>247650</xdr:rowOff>
        </xdr:from>
        <xdr:to>
          <xdr:col>4</xdr:col>
          <xdr:colOff>514350</xdr:colOff>
          <xdr:row>100</xdr:row>
          <xdr:rowOff>571500</xdr:rowOff>
        </xdr:to>
        <xdr:sp macro="" textlink="">
          <xdr:nvSpPr>
            <xdr:cNvPr id="100733" name="Check Box 381" hidden="1">
              <a:extLst>
                <a:ext uri="{63B3BB69-23CF-44E3-9099-C40C66FF867C}">
                  <a14:compatExt spid="_x0000_s100733"/>
                </a:ext>
                <a:ext uri="{FF2B5EF4-FFF2-40B4-BE49-F238E27FC236}">
                  <a16:creationId xmlns:a16="http://schemas.microsoft.com/office/drawing/2014/main" id="{00000000-0008-0000-0100-00007D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101</xdr:row>
          <xdr:rowOff>114300</xdr:rowOff>
        </xdr:from>
        <xdr:to>
          <xdr:col>4</xdr:col>
          <xdr:colOff>581025</xdr:colOff>
          <xdr:row>101</xdr:row>
          <xdr:rowOff>400050</xdr:rowOff>
        </xdr:to>
        <xdr:sp macro="" textlink="">
          <xdr:nvSpPr>
            <xdr:cNvPr id="100734" name="Check Box 382" hidden="1">
              <a:extLst>
                <a:ext uri="{63B3BB69-23CF-44E3-9099-C40C66FF867C}">
                  <a14:compatExt spid="_x0000_s100734"/>
                </a:ext>
                <a:ext uri="{FF2B5EF4-FFF2-40B4-BE49-F238E27FC236}">
                  <a16:creationId xmlns:a16="http://schemas.microsoft.com/office/drawing/2014/main" id="{00000000-0008-0000-0100-00007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100</xdr:row>
          <xdr:rowOff>1181100</xdr:rowOff>
        </xdr:from>
        <xdr:to>
          <xdr:col>4</xdr:col>
          <xdr:colOff>638175</xdr:colOff>
          <xdr:row>101</xdr:row>
          <xdr:rowOff>219075</xdr:rowOff>
        </xdr:to>
        <xdr:sp macro="" textlink="">
          <xdr:nvSpPr>
            <xdr:cNvPr id="100735" name="Check Box 383" hidden="1">
              <a:extLst>
                <a:ext uri="{63B3BB69-23CF-44E3-9099-C40C66FF867C}">
                  <a14:compatExt spid="_x0000_s100735"/>
                </a:ext>
                <a:ext uri="{FF2B5EF4-FFF2-40B4-BE49-F238E27FC236}">
                  <a16:creationId xmlns:a16="http://schemas.microsoft.com/office/drawing/2014/main" id="{00000000-0008-0000-0100-00007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323850</xdr:colOff>
          <xdr:row>103</xdr:row>
          <xdr:rowOff>19050</xdr:rowOff>
        </xdr:from>
        <xdr:to>
          <xdr:col>5</xdr:col>
          <xdr:colOff>457200</xdr:colOff>
          <xdr:row>103</xdr:row>
          <xdr:rowOff>152400</xdr:rowOff>
        </xdr:to>
        <xdr:sp macro="" textlink="">
          <xdr:nvSpPr>
            <xdr:cNvPr id="100736" name="Check Box 384" hidden="1">
              <a:extLst>
                <a:ext uri="{63B3BB69-23CF-44E3-9099-C40C66FF867C}">
                  <a14:compatExt spid="_x0000_s100736"/>
                </a:ext>
                <a:ext uri="{FF2B5EF4-FFF2-40B4-BE49-F238E27FC236}">
                  <a16:creationId xmlns:a16="http://schemas.microsoft.com/office/drawing/2014/main" id="{00000000-0008-0000-0100-00008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104</xdr:row>
          <xdr:rowOff>9525</xdr:rowOff>
        </xdr:from>
        <xdr:to>
          <xdr:col>7</xdr:col>
          <xdr:colOff>38100</xdr:colOff>
          <xdr:row>104</xdr:row>
          <xdr:rowOff>152400</xdr:rowOff>
        </xdr:to>
        <xdr:sp macro="" textlink="">
          <xdr:nvSpPr>
            <xdr:cNvPr id="100737" name="Check Box 385" hidden="1">
              <a:extLst>
                <a:ext uri="{63B3BB69-23CF-44E3-9099-C40C66FF867C}">
                  <a14:compatExt spid="_x0000_s100737"/>
                </a:ext>
                <a:ext uri="{FF2B5EF4-FFF2-40B4-BE49-F238E27FC236}">
                  <a16:creationId xmlns:a16="http://schemas.microsoft.com/office/drawing/2014/main" id="{00000000-0008-0000-0100-00008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295275</xdr:colOff>
          <xdr:row>105</xdr:row>
          <xdr:rowOff>171450</xdr:rowOff>
        </xdr:from>
        <xdr:to>
          <xdr:col>4</xdr:col>
          <xdr:colOff>561975</xdr:colOff>
          <xdr:row>105</xdr:row>
          <xdr:rowOff>428625</xdr:rowOff>
        </xdr:to>
        <xdr:sp macro="" textlink="">
          <xdr:nvSpPr>
            <xdr:cNvPr id="100739" name="Check Box 387" hidden="1">
              <a:extLst>
                <a:ext uri="{63B3BB69-23CF-44E3-9099-C40C66FF867C}">
                  <a14:compatExt spid="_x0000_s100739"/>
                </a:ext>
                <a:ext uri="{FF2B5EF4-FFF2-40B4-BE49-F238E27FC236}">
                  <a16:creationId xmlns:a16="http://schemas.microsoft.com/office/drawing/2014/main" id="{00000000-0008-0000-0100-000083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219075</xdr:colOff>
          <xdr:row>156</xdr:row>
          <xdr:rowOff>171450</xdr:rowOff>
        </xdr:from>
        <xdr:to>
          <xdr:col>12</xdr:col>
          <xdr:colOff>485775</xdr:colOff>
          <xdr:row>156</xdr:row>
          <xdr:rowOff>352425</xdr:rowOff>
        </xdr:to>
        <xdr:sp macro="" textlink="">
          <xdr:nvSpPr>
            <xdr:cNvPr id="100742" name="Check Box 390" hidden="1">
              <a:extLst>
                <a:ext uri="{63B3BB69-23CF-44E3-9099-C40C66FF867C}">
                  <a14:compatExt spid="_x0000_s100742"/>
                </a:ext>
                <a:ext uri="{FF2B5EF4-FFF2-40B4-BE49-F238E27FC236}">
                  <a16:creationId xmlns:a16="http://schemas.microsoft.com/office/drawing/2014/main" id="{00000000-0008-0000-0100-000086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809625</xdr:colOff>
          <xdr:row>156</xdr:row>
          <xdr:rowOff>171450</xdr:rowOff>
        </xdr:from>
        <xdr:to>
          <xdr:col>11</xdr:col>
          <xdr:colOff>276225</xdr:colOff>
          <xdr:row>156</xdr:row>
          <xdr:rowOff>342900</xdr:rowOff>
        </xdr:to>
        <xdr:sp macro="" textlink="">
          <xdr:nvSpPr>
            <xdr:cNvPr id="100743" name="Check Box 391" hidden="1">
              <a:extLst>
                <a:ext uri="{63B3BB69-23CF-44E3-9099-C40C66FF867C}">
                  <a14:compatExt spid="_x0000_s100743"/>
                </a:ext>
                <a:ext uri="{FF2B5EF4-FFF2-40B4-BE49-F238E27FC236}">
                  <a16:creationId xmlns:a16="http://schemas.microsoft.com/office/drawing/2014/main" id="{00000000-0008-0000-0100-000087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171450</xdr:colOff>
          <xdr:row>124</xdr:row>
          <xdr:rowOff>885825</xdr:rowOff>
        </xdr:from>
        <xdr:to>
          <xdr:col>9</xdr:col>
          <xdr:colOff>438150</xdr:colOff>
          <xdr:row>124</xdr:row>
          <xdr:rowOff>1190625</xdr:rowOff>
        </xdr:to>
        <xdr:sp macro="" textlink="">
          <xdr:nvSpPr>
            <xdr:cNvPr id="100750" name="Check Box 398" hidden="1">
              <a:extLst>
                <a:ext uri="{63B3BB69-23CF-44E3-9099-C40C66FF867C}">
                  <a14:compatExt spid="_x0000_s100750"/>
                </a:ext>
                <a:ext uri="{FF2B5EF4-FFF2-40B4-BE49-F238E27FC236}">
                  <a16:creationId xmlns:a16="http://schemas.microsoft.com/office/drawing/2014/main" id="{00000000-0008-0000-0100-00008E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400050</xdr:colOff>
          <xdr:row>107</xdr:row>
          <xdr:rowOff>466725</xdr:rowOff>
        </xdr:from>
        <xdr:to>
          <xdr:col>8</xdr:col>
          <xdr:colOff>19050</xdr:colOff>
          <xdr:row>107</xdr:row>
          <xdr:rowOff>704850</xdr:rowOff>
        </xdr:to>
        <xdr:sp macro="" textlink="">
          <xdr:nvSpPr>
            <xdr:cNvPr id="100751" name="Check Box 399" hidden="1">
              <a:extLst>
                <a:ext uri="{63B3BB69-23CF-44E3-9099-C40C66FF867C}">
                  <a14:compatExt spid="_x0000_s100751"/>
                </a:ext>
                <a:ext uri="{FF2B5EF4-FFF2-40B4-BE49-F238E27FC236}">
                  <a16:creationId xmlns:a16="http://schemas.microsoft.com/office/drawing/2014/main" id="{00000000-0008-0000-0100-00008F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107</xdr:row>
          <xdr:rowOff>619125</xdr:rowOff>
        </xdr:from>
        <xdr:to>
          <xdr:col>8</xdr:col>
          <xdr:colOff>66675</xdr:colOff>
          <xdr:row>107</xdr:row>
          <xdr:rowOff>857250</xdr:rowOff>
        </xdr:to>
        <xdr:sp macro="" textlink="">
          <xdr:nvSpPr>
            <xdr:cNvPr id="100752" name="Check Box 400" hidden="1">
              <a:extLst>
                <a:ext uri="{63B3BB69-23CF-44E3-9099-C40C66FF867C}">
                  <a14:compatExt spid="_x0000_s100752"/>
                </a:ext>
                <a:ext uri="{FF2B5EF4-FFF2-40B4-BE49-F238E27FC236}">
                  <a16:creationId xmlns:a16="http://schemas.microsoft.com/office/drawing/2014/main" id="{00000000-0008-0000-0100-000090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590550</xdr:colOff>
          <xdr:row>104</xdr:row>
          <xdr:rowOff>161925</xdr:rowOff>
        </xdr:from>
        <xdr:to>
          <xdr:col>5</xdr:col>
          <xdr:colOff>161925</xdr:colOff>
          <xdr:row>104</xdr:row>
          <xdr:rowOff>371475</xdr:rowOff>
        </xdr:to>
        <xdr:sp macro="" textlink="">
          <xdr:nvSpPr>
            <xdr:cNvPr id="100753" name="Check Box 401" hidden="1">
              <a:extLst>
                <a:ext uri="{63B3BB69-23CF-44E3-9099-C40C66FF867C}">
                  <a14:compatExt spid="_x0000_s100753"/>
                </a:ext>
                <a:ext uri="{FF2B5EF4-FFF2-40B4-BE49-F238E27FC236}">
                  <a16:creationId xmlns:a16="http://schemas.microsoft.com/office/drawing/2014/main" id="{00000000-0008-0000-0100-000091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352425</xdr:colOff>
          <xdr:row>104</xdr:row>
          <xdr:rowOff>476250</xdr:rowOff>
        </xdr:from>
        <xdr:to>
          <xdr:col>4</xdr:col>
          <xdr:colOff>609600</xdr:colOff>
          <xdr:row>104</xdr:row>
          <xdr:rowOff>685800</xdr:rowOff>
        </xdr:to>
        <xdr:sp macro="" textlink="">
          <xdr:nvSpPr>
            <xdr:cNvPr id="100754" name="Check Box 402" hidden="1">
              <a:extLst>
                <a:ext uri="{63B3BB69-23CF-44E3-9099-C40C66FF867C}">
                  <a14:compatExt spid="_x0000_s100754"/>
                </a:ext>
                <a:ext uri="{FF2B5EF4-FFF2-40B4-BE49-F238E27FC236}">
                  <a16:creationId xmlns:a16="http://schemas.microsoft.com/office/drawing/2014/main" id="{00000000-0008-0000-0100-00009289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0</xdr:col>
      <xdr:colOff>180975</xdr:colOff>
      <xdr:row>0</xdr:row>
      <xdr:rowOff>19050</xdr:rowOff>
    </xdr:from>
    <xdr:ext cx="666750" cy="6096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rcRect/>
        <a:stretch>
          <a:fillRect/>
        </a:stretch>
      </xdr:blipFill>
      <xdr:spPr>
        <a:xfrm>
          <a:off x="180975" y="19050"/>
          <a:ext cx="666750" cy="6096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152400</xdr:colOff>
          <xdr:row>16</xdr:row>
          <xdr:rowOff>114300</xdr:rowOff>
        </xdr:from>
        <xdr:to>
          <xdr:col>3</xdr:col>
          <xdr:colOff>361950</xdr:colOff>
          <xdr:row>17</xdr:row>
          <xdr:rowOff>457200</xdr:rowOff>
        </xdr:to>
        <xdr:sp macro="" textlink="">
          <xdr:nvSpPr>
            <xdr:cNvPr id="54273" name="Check Box 1" hidden="1">
              <a:extLst>
                <a:ext uri="{63B3BB69-23CF-44E3-9099-C40C66FF867C}">
                  <a14:compatExt spid="_x0000_s54273"/>
                </a:ext>
                <a:ext uri="{FF2B5EF4-FFF2-40B4-BE49-F238E27FC236}">
                  <a16:creationId xmlns:a16="http://schemas.microsoft.com/office/drawing/2014/main" id="{00000000-0008-0000-0D00-000001D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16</xdr:row>
          <xdr:rowOff>114300</xdr:rowOff>
        </xdr:from>
        <xdr:to>
          <xdr:col>4</xdr:col>
          <xdr:colOff>495300</xdr:colOff>
          <xdr:row>17</xdr:row>
          <xdr:rowOff>466725</xdr:rowOff>
        </xdr:to>
        <xdr:sp macro="" textlink="">
          <xdr:nvSpPr>
            <xdr:cNvPr id="54274" name="Check Box 2" hidden="1">
              <a:extLst>
                <a:ext uri="{63B3BB69-23CF-44E3-9099-C40C66FF867C}">
                  <a14:compatExt spid="_x0000_s54274"/>
                </a:ext>
                <a:ext uri="{FF2B5EF4-FFF2-40B4-BE49-F238E27FC236}">
                  <a16:creationId xmlns:a16="http://schemas.microsoft.com/office/drawing/2014/main" id="{00000000-0008-0000-0D00-000002D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IN"/>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0</xdr:col>
      <xdr:colOff>180975</xdr:colOff>
      <xdr:row>0</xdr:row>
      <xdr:rowOff>19050</xdr:rowOff>
    </xdr:from>
    <xdr:ext cx="666750" cy="609600"/>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rcRect/>
        <a:stretch>
          <a:fillRect/>
        </a:stretch>
      </xdr:blipFill>
      <xdr:spPr>
        <a:xfrm>
          <a:off x="180975" y="19050"/>
          <a:ext cx="666750" cy="6096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d.docs.live.net\Desktop-k7gjsa4\C:\Gaurav-pc\d\Users\sanjaysharma\Downloads\Certificate%20Publishing%20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d.docs.live.net\Desktop-k7gjsa4\C:\Gaurav-pc\d\Users\sanjaysharma\Downloads\IC.F-14.01%20Calculation%20of%20Audit%20Duration%20Sheet%20&#8211;%20QMS%20%20EMS%20OHS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Foglio1"/>
      <sheetName val="Data"/>
    </sheetNames>
    <sheetDataSet>
      <sheetData sheetId="0" refreshError="1"/>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
      <sheetName val="IDX"/>
      <sheetName val="Foglio1"/>
      <sheetName val="Data"/>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38" Type="http://schemas.openxmlformats.org/officeDocument/2006/relationships/ctrlProp" Target="../ctrlProps/ctrlProp136.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28" Type="http://schemas.openxmlformats.org/officeDocument/2006/relationships/ctrlProp" Target="../ctrlProps/ctrlProp126.xml"/><Relationship Id="rId144" Type="http://schemas.openxmlformats.org/officeDocument/2006/relationships/ctrlProp" Target="../ctrlProps/ctrlProp142.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134" Type="http://schemas.openxmlformats.org/officeDocument/2006/relationships/ctrlProp" Target="../ctrlProps/ctrlProp132.xml"/><Relationship Id="rId139" Type="http://schemas.openxmlformats.org/officeDocument/2006/relationships/ctrlProp" Target="../ctrlProps/ctrlProp137.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openxmlformats.org/officeDocument/2006/relationships/ctrlProp" Target="../ctrlProps/ctrlProp122.xml"/><Relationship Id="rId129" Type="http://schemas.openxmlformats.org/officeDocument/2006/relationships/ctrlProp" Target="../ctrlProps/ctrlProp127.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40" Type="http://schemas.openxmlformats.org/officeDocument/2006/relationships/ctrlProp" Target="../ctrlProps/ctrlProp138.xml"/><Relationship Id="rId1" Type="http://schemas.openxmlformats.org/officeDocument/2006/relationships/drawing" Target="../drawings/drawing1.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130" Type="http://schemas.openxmlformats.org/officeDocument/2006/relationships/ctrlProp" Target="../ctrlProps/ctrlProp128.xml"/><Relationship Id="rId135" Type="http://schemas.openxmlformats.org/officeDocument/2006/relationships/ctrlProp" Target="../ctrlProps/ctrlProp133.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141" Type="http://schemas.openxmlformats.org/officeDocument/2006/relationships/ctrlProp" Target="../ctrlProps/ctrlProp139.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4" Type="http://schemas.openxmlformats.org/officeDocument/2006/relationships/ctrlProp" Target="../ctrlProps/ctrlProp2.xml"/><Relationship Id="rId9" Type="http://schemas.openxmlformats.org/officeDocument/2006/relationships/ctrlProp" Target="../ctrlProps/ctrlProp7.xml"/><Relationship Id="rId26" Type="http://schemas.openxmlformats.org/officeDocument/2006/relationships/ctrlProp" Target="../ctrlProps/ctrlProp24.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6" Type="http://schemas.openxmlformats.org/officeDocument/2006/relationships/ctrlProp" Target="../ctrlProps/ctrlProp14.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3" Type="http://schemas.openxmlformats.org/officeDocument/2006/relationships/ctrlProp" Target="../ctrlProps/ctrlProp143.xml"/><Relationship Id="rId2" Type="http://schemas.openxmlformats.org/officeDocument/2006/relationships/vmlDrawing" Target="../drawings/vmlDrawing12.vml"/><Relationship Id="rId1" Type="http://schemas.openxmlformats.org/officeDocument/2006/relationships/drawing" Target="../drawings/drawing3.xml"/><Relationship Id="rId4" Type="http://schemas.openxmlformats.org/officeDocument/2006/relationships/ctrlProp" Target="../ctrlProps/ctrlProp14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2:E26"/>
  <sheetViews>
    <sheetView topLeftCell="A10" workbookViewId="0">
      <selection activeCell="E24" sqref="E24"/>
    </sheetView>
  </sheetViews>
  <sheetFormatPr defaultColWidth="9" defaultRowHeight="15.75"/>
  <cols>
    <col min="2" max="2" width="21.125" customWidth="1"/>
    <col min="3" max="3" width="42.125" customWidth="1"/>
    <col min="5" max="5" width="16.125" customWidth="1"/>
  </cols>
  <sheetData>
    <row r="2" spans="2:5">
      <c r="B2" s="85" t="s">
        <v>0</v>
      </c>
      <c r="C2" s="85" t="s">
        <v>1</v>
      </c>
      <c r="D2" s="85" t="s">
        <v>2</v>
      </c>
      <c r="E2" s="85" t="s">
        <v>3</v>
      </c>
    </row>
    <row r="3" spans="2:5">
      <c r="B3" s="86" t="s">
        <v>4</v>
      </c>
      <c r="C3" s="86" t="s">
        <v>5</v>
      </c>
      <c r="D3" s="86">
        <v>0</v>
      </c>
      <c r="E3" s="86" t="s">
        <v>6</v>
      </c>
    </row>
    <row r="4" spans="2:5">
      <c r="B4" s="87" t="s">
        <v>7</v>
      </c>
      <c r="C4" s="86" t="s">
        <v>8</v>
      </c>
      <c r="D4" s="86" t="s">
        <v>9</v>
      </c>
      <c r="E4" s="86"/>
    </row>
    <row r="5" spans="2:5">
      <c r="B5" t="s">
        <v>10</v>
      </c>
      <c r="C5" s="86" t="s">
        <v>11</v>
      </c>
      <c r="D5" s="86" t="s">
        <v>12</v>
      </c>
      <c r="E5" s="86"/>
    </row>
    <row r="6" spans="2:5">
      <c r="B6" s="87" t="s">
        <v>13</v>
      </c>
      <c r="C6" s="86" t="s">
        <v>14</v>
      </c>
      <c r="D6" s="86" t="s">
        <v>15</v>
      </c>
      <c r="E6" s="86"/>
    </row>
    <row r="7" spans="2:5">
      <c r="B7" t="s">
        <v>16</v>
      </c>
      <c r="C7" s="86" t="s">
        <v>17</v>
      </c>
      <c r="D7" s="86" t="s">
        <v>15</v>
      </c>
      <c r="E7" s="86"/>
    </row>
    <row r="8" spans="2:5">
      <c r="B8" s="87" t="s">
        <v>18</v>
      </c>
      <c r="C8" s="86" t="s">
        <v>19</v>
      </c>
      <c r="D8" s="86" t="s">
        <v>15</v>
      </c>
      <c r="E8" s="86"/>
    </row>
    <row r="9" spans="2:5">
      <c r="B9" s="87" t="s">
        <v>20</v>
      </c>
      <c r="C9" s="86" t="s">
        <v>21</v>
      </c>
      <c r="D9" s="86" t="s">
        <v>15</v>
      </c>
      <c r="E9" s="86"/>
    </row>
    <row r="10" spans="2:5">
      <c r="B10" s="87" t="s">
        <v>22</v>
      </c>
      <c r="C10" s="86" t="s">
        <v>21</v>
      </c>
      <c r="D10" s="86" t="s">
        <v>15</v>
      </c>
      <c r="E10" s="86"/>
    </row>
    <row r="11" spans="2:5">
      <c r="B11" s="88" t="s">
        <v>23</v>
      </c>
      <c r="C11" s="88" t="s">
        <v>24</v>
      </c>
      <c r="D11" s="88"/>
      <c r="E11" s="88"/>
    </row>
    <row r="12" spans="2:5">
      <c r="B12" s="87" t="s">
        <v>25</v>
      </c>
      <c r="C12" s="86" t="s">
        <v>26</v>
      </c>
      <c r="D12" s="86" t="s">
        <v>15</v>
      </c>
      <c r="E12" s="86"/>
    </row>
    <row r="13" spans="2:5">
      <c r="B13" s="88" t="s">
        <v>27</v>
      </c>
      <c r="C13" s="88" t="s">
        <v>24</v>
      </c>
      <c r="D13" s="88"/>
      <c r="E13" s="88"/>
    </row>
    <row r="14" spans="2:5">
      <c r="B14" s="87" t="s">
        <v>28</v>
      </c>
      <c r="C14" s="86" t="s">
        <v>29</v>
      </c>
      <c r="D14" s="86" t="s">
        <v>15</v>
      </c>
      <c r="E14" s="86"/>
    </row>
    <row r="15" spans="2:5">
      <c r="B15" s="87" t="s">
        <v>30</v>
      </c>
      <c r="C15" s="86" t="s">
        <v>31</v>
      </c>
      <c r="D15" s="86" t="s">
        <v>15</v>
      </c>
      <c r="E15" s="86"/>
    </row>
    <row r="16" spans="2:5">
      <c r="B16" s="88" t="s">
        <v>32</v>
      </c>
      <c r="C16" s="88" t="s">
        <v>24</v>
      </c>
      <c r="D16" s="88"/>
      <c r="E16" s="88"/>
    </row>
    <row r="17" spans="2:5">
      <c r="B17" s="88" t="s">
        <v>33</v>
      </c>
      <c r="C17" s="88" t="s">
        <v>24</v>
      </c>
      <c r="D17" s="88"/>
      <c r="E17" s="88"/>
    </row>
    <row r="18" spans="2:5">
      <c r="B18" s="87" t="s">
        <v>34</v>
      </c>
      <c r="C18" s="86" t="s">
        <v>35</v>
      </c>
      <c r="D18" s="86" t="s">
        <v>12</v>
      </c>
      <c r="E18" s="86"/>
    </row>
    <row r="19" spans="2:5">
      <c r="B19" s="87" t="s">
        <v>36</v>
      </c>
      <c r="C19" s="86" t="s">
        <v>37</v>
      </c>
      <c r="D19" s="86" t="s">
        <v>15</v>
      </c>
      <c r="E19" s="86"/>
    </row>
    <row r="20" spans="2:5">
      <c r="B20" s="87" t="s">
        <v>38</v>
      </c>
      <c r="C20" s="86" t="s">
        <v>39</v>
      </c>
      <c r="D20" s="86" t="s">
        <v>15</v>
      </c>
      <c r="E20" s="86" t="s">
        <v>40</v>
      </c>
    </row>
    <row r="21" spans="2:5">
      <c r="B21" s="87" t="s">
        <v>41</v>
      </c>
      <c r="C21" s="86" t="s">
        <v>42</v>
      </c>
      <c r="D21" s="86" t="s">
        <v>12</v>
      </c>
      <c r="E21" s="86"/>
    </row>
    <row r="22" spans="2:5">
      <c r="B22" s="88" t="s">
        <v>43</v>
      </c>
      <c r="C22" s="88" t="s">
        <v>24</v>
      </c>
      <c r="D22" s="88"/>
      <c r="E22" s="88"/>
    </row>
    <row r="23" spans="2:5">
      <c r="B23" s="88" t="s">
        <v>44</v>
      </c>
      <c r="C23" s="88" t="s">
        <v>24</v>
      </c>
      <c r="D23" s="88"/>
      <c r="E23" s="88"/>
    </row>
    <row r="24" spans="2:5">
      <c r="B24" s="88" t="s">
        <v>45</v>
      </c>
      <c r="C24" s="88" t="s">
        <v>24</v>
      </c>
      <c r="D24" s="88"/>
      <c r="E24" s="88"/>
    </row>
    <row r="25" spans="2:5">
      <c r="B25" s="88" t="s">
        <v>46</v>
      </c>
      <c r="C25" s="88" t="s">
        <v>24</v>
      </c>
      <c r="D25" s="88"/>
      <c r="E25" s="88"/>
    </row>
    <row r="26" spans="2:5">
      <c r="B26" s="88" t="s">
        <v>47</v>
      </c>
      <c r="C26" s="88" t="s">
        <v>24</v>
      </c>
      <c r="D26" s="88"/>
      <c r="E26" s="88"/>
    </row>
  </sheetData>
  <hyperlinks>
    <hyperlink ref="B6" location="'F03A Audit Planning for 3 years'!A1" display="AUD-F-03A" xr:uid="{00000000-0004-0000-0000-000000000000}"/>
    <hyperlink ref="B9" location="'F07 S1Opening&amp;Closing Meeting'!A1" display="AUD-F-07 S1" xr:uid="{00000000-0004-0000-0000-000001000000}"/>
    <hyperlink ref="B10" location="'F07 S2Opening&amp;Closing Meeting'!A1" display="AUD-F-07 S2" xr:uid="{00000000-0004-0000-0000-000002000000}"/>
    <hyperlink ref="B12" location="'F09A S1Report'!A1" display="AUD-F-09 " xr:uid="{00000000-0004-0000-0000-000003000000}"/>
    <hyperlink ref="B14" location="'F11&amp;F12 S2Plan&amp;Schedule'!A1" display="AUD-F-11" xr:uid="{00000000-0004-0000-0000-000004000000}"/>
    <hyperlink ref="B15" location="'F11&amp;F12 S2Plan&amp;Schedule'!A1" display="AUD-F-12" xr:uid="{00000000-0004-0000-0000-000005000000}"/>
    <hyperlink ref="B18" location="'F15A S2Report'!A1" display="AUD-F-15 " xr:uid="{00000000-0004-0000-0000-000006000000}"/>
    <hyperlink ref="B19" location="'F16&amp;F17 CAR'!A1" display="AUD-F-16" xr:uid="{00000000-0004-0000-0000-000007000000}"/>
    <hyperlink ref="B20" location="'F16&amp;F17 CAR'!A1" display="AUD-F-17" xr:uid="{00000000-0004-0000-0000-000008000000}"/>
    <hyperlink ref="B4" location="'F02 Application Form'!Check10" display="AUD-F-02"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O241"/>
  <sheetViews>
    <sheetView tabSelected="1" topLeftCell="A211" workbookViewId="0">
      <selection activeCell="P217" sqref="P217"/>
    </sheetView>
  </sheetViews>
  <sheetFormatPr defaultColWidth="11" defaultRowHeight="15.75"/>
  <cols>
    <col min="1" max="1" width="17.5" style="55" customWidth="1"/>
    <col min="2" max="2" width="4.125" style="55" customWidth="1"/>
    <col min="3" max="3" width="9.875" style="55" customWidth="1"/>
    <col min="4" max="4" width="7.125" style="55" customWidth="1"/>
    <col min="5" max="5" width="9" style="55" customWidth="1"/>
    <col min="6" max="6" width="9.5" style="55" customWidth="1"/>
    <col min="7" max="7" width="5.5" style="55" customWidth="1"/>
    <col min="8" max="8" width="4.875" style="55" customWidth="1"/>
    <col min="9" max="9" width="12.625" style="55" customWidth="1"/>
    <col min="10" max="10" width="7" style="55" customWidth="1"/>
    <col min="11" max="11" width="10.875" style="55" customWidth="1"/>
    <col min="12" max="12" width="9" style="55" customWidth="1"/>
    <col min="13" max="13" width="8.375" style="55" customWidth="1"/>
    <col min="14" max="16384" width="11" style="55"/>
  </cols>
  <sheetData>
    <row r="1" spans="1:15" ht="21">
      <c r="A1" s="292" t="s">
        <v>8</v>
      </c>
      <c r="B1" s="292"/>
      <c r="C1" s="292"/>
      <c r="D1" s="292"/>
      <c r="E1" s="292"/>
      <c r="F1" s="292"/>
      <c r="G1" s="292"/>
      <c r="H1" s="292"/>
      <c r="I1" s="292"/>
      <c r="J1" s="292"/>
      <c r="K1" s="292"/>
      <c r="L1" s="292"/>
      <c r="M1" s="292"/>
      <c r="O1" s="71" t="s">
        <v>48</v>
      </c>
    </row>
    <row r="2" spans="1:15">
      <c r="A2" s="293"/>
      <c r="B2" s="293"/>
      <c r="C2" s="293"/>
      <c r="D2" s="293"/>
      <c r="E2" s="293"/>
      <c r="F2" s="293"/>
      <c r="G2" s="293"/>
      <c r="H2" s="293"/>
      <c r="I2" s="293"/>
      <c r="J2" s="293"/>
      <c r="K2" s="293"/>
      <c r="L2" s="293"/>
      <c r="M2" s="293"/>
    </row>
    <row r="3" spans="1:15">
      <c r="A3" s="72" t="s">
        <v>49</v>
      </c>
      <c r="B3" s="294" t="str">
        <f>IF(ID=0," ",ID)</f>
        <v xml:space="preserve"> </v>
      </c>
      <c r="C3" s="294"/>
      <c r="D3" s="294"/>
      <c r="E3" s="294"/>
      <c r="F3" s="294"/>
      <c r="G3" s="294"/>
      <c r="H3" s="294"/>
      <c r="I3" s="294"/>
      <c r="J3" s="294"/>
      <c r="K3" s="294"/>
      <c r="L3" s="294"/>
      <c r="M3" s="294"/>
    </row>
    <row r="4" spans="1:15" ht="37.5" customHeight="1">
      <c r="A4" s="73" t="s">
        <v>50</v>
      </c>
      <c r="B4" s="294" t="str">
        <f>IF(ORGN=0," ",ORGN)</f>
        <v xml:space="preserve"> </v>
      </c>
      <c r="C4" s="294"/>
      <c r="D4" s="294"/>
      <c r="E4" s="294"/>
      <c r="F4" s="294"/>
      <c r="G4" s="294"/>
      <c r="H4" s="294"/>
      <c r="I4" s="294"/>
      <c r="J4" s="294"/>
      <c r="K4" s="294"/>
      <c r="L4" s="294"/>
      <c r="M4" s="294"/>
    </row>
    <row r="5" spans="1:15" ht="58.5" customHeight="1">
      <c r="A5" s="73" t="s">
        <v>51</v>
      </c>
      <c r="B5" s="294" t="str">
        <f>IF(ORGADD=0," ",ORGADD)</f>
        <v xml:space="preserve"> </v>
      </c>
      <c r="C5" s="294"/>
      <c r="D5" s="294"/>
      <c r="E5" s="294"/>
      <c r="F5" s="294"/>
      <c r="G5" s="294"/>
      <c r="H5" s="294"/>
      <c r="I5" s="294"/>
      <c r="J5" s="294"/>
      <c r="K5" s="294"/>
      <c r="L5" s="294"/>
      <c r="M5" s="294"/>
    </row>
    <row r="6" spans="1:15" ht="51.75" customHeight="1">
      <c r="A6" s="73" t="s">
        <v>52</v>
      </c>
      <c r="B6" s="294" t="str">
        <f>IF(ADS=0," ",ADS)</f>
        <v xml:space="preserve"> </v>
      </c>
      <c r="C6" s="294"/>
      <c r="D6" s="294"/>
      <c r="E6" s="294"/>
      <c r="F6" s="294"/>
      <c r="G6" s="294"/>
      <c r="H6" s="294"/>
      <c r="I6" s="294"/>
      <c r="J6" s="294"/>
      <c r="K6" s="294"/>
      <c r="L6" s="294"/>
      <c r="M6" s="294"/>
    </row>
    <row r="7" spans="1:15" ht="21.75" customHeight="1">
      <c r="A7" s="73" t="s">
        <v>53</v>
      </c>
      <c r="B7" s="295" t="str">
        <f>IF(CODNOM=0," ",CODNOM)</f>
        <v xml:space="preserve"> </v>
      </c>
      <c r="C7" s="295"/>
      <c r="D7" s="295"/>
      <c r="E7" s="295"/>
      <c r="F7" s="296" t="s">
        <v>54</v>
      </c>
      <c r="G7" s="296"/>
      <c r="H7" s="296"/>
      <c r="I7" s="297" t="str">
        <f>IF(EMAILID=0," ",EMAILID)</f>
        <v xml:space="preserve"> </v>
      </c>
      <c r="J7" s="295"/>
      <c r="K7" s="295"/>
      <c r="L7" s="295"/>
      <c r="M7" s="295"/>
    </row>
    <row r="8" spans="1:15" ht="21.75" customHeight="1">
      <c r="A8" s="73" t="s">
        <v>55</v>
      </c>
      <c r="B8" s="295" t="str">
        <f>IF(CONTACTPERS=0," ",CONTACTPERS)</f>
        <v xml:space="preserve"> </v>
      </c>
      <c r="C8" s="295"/>
      <c r="D8" s="295"/>
      <c r="E8" s="295"/>
      <c r="F8" s="296" t="s">
        <v>56</v>
      </c>
      <c r="G8" s="296"/>
      <c r="H8" s="296"/>
      <c r="I8" s="295" t="str">
        <f>IF(DESIGNATION=0," ",DESIGNATION)</f>
        <v xml:space="preserve"> </v>
      </c>
      <c r="J8" s="295"/>
      <c r="K8" s="295"/>
      <c r="L8" s="295"/>
      <c r="M8" s="295"/>
    </row>
    <row r="9" spans="1:15" ht="41.25" customHeight="1">
      <c r="A9" s="73" t="s">
        <v>57</v>
      </c>
      <c r="B9" s="298" t="str">
        <f>IF(MOA=0," ",MOA)</f>
        <v xml:space="preserve"> </v>
      </c>
      <c r="C9" s="299"/>
      <c r="D9" s="299"/>
      <c r="E9" s="300"/>
      <c r="F9" s="301" t="s">
        <v>58</v>
      </c>
      <c r="G9" s="302"/>
      <c r="H9" s="303"/>
      <c r="I9" s="304" t="str">
        <f>IF(OML=0," ",OML)</f>
        <v xml:space="preserve"> </v>
      </c>
      <c r="J9" s="305"/>
      <c r="K9" s="305"/>
      <c r="L9" s="305"/>
      <c r="M9" s="306"/>
    </row>
    <row r="10" spans="1:15" ht="59.25" customHeight="1">
      <c r="A10" s="73" t="s">
        <v>59</v>
      </c>
      <c r="B10" s="294" t="str">
        <f>IF(SCOPE=0," ",SCOPE)</f>
        <v xml:space="preserve"> </v>
      </c>
      <c r="C10" s="294"/>
      <c r="D10" s="294"/>
      <c r="E10" s="294"/>
      <c r="F10" s="294"/>
      <c r="G10" s="294"/>
      <c r="H10" s="294"/>
      <c r="I10" s="294"/>
      <c r="J10" s="294"/>
      <c r="K10" s="294"/>
      <c r="L10" s="294"/>
      <c r="M10" s="294"/>
    </row>
    <row r="11" spans="1:15" ht="42" customHeight="1">
      <c r="A11" s="73" t="s">
        <v>60</v>
      </c>
      <c r="B11" s="294"/>
      <c r="C11" s="294"/>
      <c r="D11" s="294"/>
      <c r="E11" s="294"/>
      <c r="F11" s="296" t="s">
        <v>61</v>
      </c>
      <c r="G11" s="296"/>
      <c r="H11" s="296"/>
      <c r="I11" s="296"/>
      <c r="J11" s="294"/>
      <c r="K11" s="294"/>
      <c r="L11" s="294"/>
      <c r="M11" s="294"/>
    </row>
    <row r="12" spans="1:15" ht="18" customHeight="1">
      <c r="A12" s="518" t="s">
        <v>62</v>
      </c>
      <c r="B12" s="307"/>
      <c r="C12" s="308"/>
      <c r="D12" s="307"/>
      <c r="E12" s="308"/>
      <c r="F12" s="307"/>
      <c r="G12" s="308"/>
      <c r="H12" s="309"/>
      <c r="I12" s="310"/>
      <c r="J12" s="309"/>
      <c r="K12" s="311"/>
      <c r="L12" s="307"/>
      <c r="M12" s="308"/>
    </row>
    <row r="13" spans="1:15" ht="21.75" customHeight="1">
      <c r="A13" s="519"/>
      <c r="B13" s="312" t="s">
        <v>63</v>
      </c>
      <c r="C13" s="313"/>
      <c r="D13" s="312" t="s">
        <v>64</v>
      </c>
      <c r="E13" s="313"/>
      <c r="F13" s="312" t="s">
        <v>65</v>
      </c>
      <c r="G13" s="313"/>
      <c r="H13" s="312" t="s">
        <v>66</v>
      </c>
      <c r="I13" s="313"/>
      <c r="J13" s="312" t="s">
        <v>67</v>
      </c>
      <c r="K13" s="313"/>
      <c r="L13" s="312" t="s">
        <v>68</v>
      </c>
      <c r="M13" s="313"/>
    </row>
    <row r="14" spans="1:15">
      <c r="A14" s="519"/>
      <c r="B14" s="314"/>
      <c r="C14" s="315"/>
      <c r="D14" s="314"/>
      <c r="E14" s="315"/>
      <c r="F14" s="314"/>
      <c r="G14" s="315"/>
      <c r="H14" s="309"/>
      <c r="I14" s="310"/>
      <c r="J14" s="316" t="s">
        <v>69</v>
      </c>
      <c r="K14" s="317"/>
      <c r="L14" s="317"/>
      <c r="M14" s="318"/>
    </row>
    <row r="15" spans="1:15" ht="33.75" customHeight="1">
      <c r="A15" s="520"/>
      <c r="B15" s="312" t="s">
        <v>70</v>
      </c>
      <c r="C15" s="313"/>
      <c r="D15" s="312" t="s">
        <v>71</v>
      </c>
      <c r="E15" s="313"/>
      <c r="F15" s="312" t="s">
        <v>72</v>
      </c>
      <c r="G15" s="313"/>
      <c r="H15" s="312" t="s">
        <v>73</v>
      </c>
      <c r="I15" s="313"/>
      <c r="J15" s="304"/>
      <c r="K15" s="305"/>
      <c r="L15" s="305"/>
      <c r="M15" s="306"/>
    </row>
    <row r="16" spans="1:15" ht="66" customHeight="1">
      <c r="A16" s="301" t="s">
        <v>74</v>
      </c>
      <c r="B16" s="302"/>
      <c r="C16" s="302"/>
      <c r="D16" s="302"/>
      <c r="E16" s="302"/>
      <c r="F16" s="303"/>
      <c r="G16" s="319"/>
      <c r="H16" s="320"/>
      <c r="I16" s="320"/>
      <c r="J16" s="320"/>
      <c r="K16" s="320"/>
      <c r="L16" s="320"/>
      <c r="M16" s="321"/>
    </row>
    <row r="17" spans="1:13" ht="21.75" customHeight="1">
      <c r="A17" s="75" t="s">
        <v>75</v>
      </c>
      <c r="B17" s="322" t="s">
        <v>76</v>
      </c>
      <c r="C17" s="323"/>
      <c r="D17" s="319" t="str">
        <f>IF(EMPLOYEENUM=0," ",EMPLOYEENUM)</f>
        <v xml:space="preserve"> </v>
      </c>
      <c r="E17" s="321"/>
      <c r="F17" s="77"/>
      <c r="G17" s="319"/>
      <c r="H17" s="321"/>
      <c r="I17" s="75" t="s">
        <v>77</v>
      </c>
      <c r="J17" s="78">
        <v>0</v>
      </c>
      <c r="K17" s="322" t="s">
        <v>78</v>
      </c>
      <c r="L17" s="323"/>
      <c r="M17" s="78"/>
    </row>
    <row r="18" spans="1:13" ht="41.25" customHeight="1">
      <c r="A18" s="76" t="s">
        <v>79</v>
      </c>
      <c r="B18" s="322" t="s">
        <v>80</v>
      </c>
      <c r="C18" s="324"/>
      <c r="D18" s="324"/>
      <c r="E18" s="323"/>
      <c r="F18" s="76" t="s">
        <v>81</v>
      </c>
      <c r="G18" s="325" t="s">
        <v>82</v>
      </c>
      <c r="H18" s="326"/>
      <c r="I18" s="322" t="s">
        <v>83</v>
      </c>
      <c r="J18" s="323"/>
      <c r="K18" s="322" t="s">
        <v>84</v>
      </c>
      <c r="L18" s="323"/>
      <c r="M18" s="74"/>
    </row>
    <row r="19" spans="1:13" ht="21.75" customHeight="1">
      <c r="A19" s="76" t="s">
        <v>85</v>
      </c>
      <c r="B19" s="327"/>
      <c r="C19" s="328"/>
      <c r="D19" s="328"/>
      <c r="E19" s="329"/>
      <c r="F19" s="74"/>
      <c r="G19" s="319"/>
      <c r="H19" s="321"/>
      <c r="I19" s="327"/>
      <c r="J19" s="329"/>
      <c r="K19" s="327"/>
      <c r="L19" s="329"/>
      <c r="M19" s="74"/>
    </row>
    <row r="20" spans="1:13" ht="31.5" customHeight="1">
      <c r="A20" s="76" t="s">
        <v>86</v>
      </c>
      <c r="B20" s="327"/>
      <c r="C20" s="328"/>
      <c r="D20" s="328"/>
      <c r="E20" s="329"/>
      <c r="F20" s="74"/>
      <c r="G20" s="319"/>
      <c r="H20" s="321"/>
      <c r="I20" s="327"/>
      <c r="J20" s="329"/>
      <c r="K20" s="327"/>
      <c r="L20" s="329"/>
      <c r="M20" s="74"/>
    </row>
    <row r="21" spans="1:13" ht="30" customHeight="1">
      <c r="A21" s="76" t="s">
        <v>87</v>
      </c>
      <c r="B21" s="327"/>
      <c r="C21" s="328"/>
      <c r="D21" s="328"/>
      <c r="E21" s="329"/>
      <c r="F21" s="74"/>
      <c r="G21" s="319"/>
      <c r="H21" s="321"/>
      <c r="I21" s="327"/>
      <c r="J21" s="329"/>
      <c r="K21" s="327"/>
      <c r="L21" s="329"/>
      <c r="M21" s="74"/>
    </row>
    <row r="22" spans="1:13" ht="21.75" customHeight="1">
      <c r="A22" s="76" t="s">
        <v>88</v>
      </c>
      <c r="B22" s="327"/>
      <c r="C22" s="328"/>
      <c r="D22" s="328"/>
      <c r="E22" s="329"/>
      <c r="F22" s="74"/>
      <c r="G22" s="319"/>
      <c r="H22" s="321"/>
      <c r="I22" s="327"/>
      <c r="J22" s="329"/>
      <c r="K22" s="327"/>
      <c r="L22" s="329"/>
      <c r="M22" s="74"/>
    </row>
    <row r="23" spans="1:13" ht="33.75" customHeight="1">
      <c r="A23" s="76" t="s">
        <v>89</v>
      </c>
      <c r="B23" s="327"/>
      <c r="C23" s="328"/>
      <c r="D23" s="328"/>
      <c r="E23" s="329"/>
      <c r="F23" s="74"/>
      <c r="G23" s="319"/>
      <c r="H23" s="321"/>
      <c r="I23" s="327"/>
      <c r="J23" s="329"/>
      <c r="K23" s="327"/>
      <c r="L23" s="329"/>
      <c r="M23" s="74"/>
    </row>
    <row r="24" spans="1:13" ht="33.75" customHeight="1">
      <c r="A24" s="322" t="s">
        <v>90</v>
      </c>
      <c r="B24" s="324"/>
      <c r="C24" s="324"/>
      <c r="D24" s="324"/>
      <c r="E24" s="324"/>
      <c r="F24" s="80"/>
      <c r="G24" s="81"/>
      <c r="H24" s="81"/>
      <c r="I24" s="81"/>
      <c r="J24" s="81"/>
      <c r="K24" s="76"/>
      <c r="L24" s="79"/>
      <c r="M24" s="74"/>
    </row>
    <row r="25" spans="1:13" ht="33.75" customHeight="1">
      <c r="A25" s="82" t="s">
        <v>75</v>
      </c>
      <c r="B25" s="324">
        <f>SUM(B19:E23)</f>
        <v>0</v>
      </c>
      <c r="C25" s="324"/>
      <c r="D25" s="324"/>
      <c r="E25" s="324"/>
      <c r="F25" s="81"/>
      <c r="G25" s="81"/>
      <c r="H25" s="81"/>
      <c r="I25" s="81"/>
      <c r="J25" s="81"/>
      <c r="K25" s="76">
        <f>SUM(K19:L23)</f>
        <v>0</v>
      </c>
      <c r="L25" s="76"/>
      <c r="M25" s="74"/>
    </row>
    <row r="26" spans="1:13" ht="19.5" customHeight="1">
      <c r="A26" s="330" t="s">
        <v>91</v>
      </c>
      <c r="B26" s="331"/>
      <c r="C26" s="331"/>
      <c r="D26" s="331"/>
      <c r="E26" s="331"/>
      <c r="F26" s="331"/>
      <c r="G26" s="331"/>
      <c r="H26" s="331"/>
      <c r="I26" s="331"/>
      <c r="J26" s="331"/>
      <c r="K26" s="331"/>
      <c r="L26" s="331"/>
      <c r="M26" s="332"/>
    </row>
    <row r="27" spans="1:13" ht="30" customHeight="1">
      <c r="A27" s="333" t="s">
        <v>92</v>
      </c>
      <c r="B27" s="334"/>
      <c r="C27" s="334"/>
      <c r="D27" s="334"/>
      <c r="E27" s="334"/>
      <c r="F27" s="335"/>
      <c r="G27" s="336" t="str">
        <f>IF(LEGAL=0," ",LEGAL)</f>
        <v xml:space="preserve"> </v>
      </c>
      <c r="H27" s="337"/>
      <c r="I27" s="337"/>
      <c r="J27" s="337"/>
      <c r="K27" s="337"/>
      <c r="L27" s="337"/>
      <c r="M27" s="338"/>
    </row>
    <row r="28" spans="1:13" ht="36" customHeight="1">
      <c r="A28" s="333" t="s">
        <v>93</v>
      </c>
      <c r="B28" s="334"/>
      <c r="C28" s="334"/>
      <c r="D28" s="334"/>
      <c r="E28" s="334"/>
      <c r="F28" s="335"/>
      <c r="G28" s="336"/>
      <c r="H28" s="337"/>
      <c r="I28" s="337"/>
      <c r="J28" s="337"/>
      <c r="K28" s="337"/>
      <c r="L28" s="337"/>
      <c r="M28" s="338"/>
    </row>
    <row r="29" spans="1:13" ht="36.75" customHeight="1">
      <c r="A29" s="333" t="s">
        <v>94</v>
      </c>
      <c r="B29" s="334"/>
      <c r="C29" s="334"/>
      <c r="D29" s="334"/>
      <c r="E29" s="334"/>
      <c r="F29" s="335"/>
      <c r="G29" s="336"/>
      <c r="H29" s="337"/>
      <c r="I29" s="337"/>
      <c r="J29" s="337"/>
      <c r="K29" s="337"/>
      <c r="L29" s="337"/>
      <c r="M29" s="338"/>
    </row>
    <row r="30" spans="1:13" ht="33.75" customHeight="1">
      <c r="A30" s="333" t="s">
        <v>95</v>
      </c>
      <c r="B30" s="334"/>
      <c r="C30" s="334"/>
      <c r="D30" s="334"/>
      <c r="E30" s="334"/>
      <c r="F30" s="335"/>
      <c r="G30" s="336" t="str">
        <f>IF(OUTSOURCING=0," ",OUTSOURCING)</f>
        <v xml:space="preserve"> </v>
      </c>
      <c r="H30" s="337"/>
      <c r="I30" s="337"/>
      <c r="J30" s="337"/>
      <c r="K30" s="337"/>
      <c r="L30" s="337"/>
      <c r="M30" s="338"/>
    </row>
    <row r="31" spans="1:13" ht="19.5" customHeight="1">
      <c r="A31" s="333" t="s">
        <v>96</v>
      </c>
      <c r="B31" s="334"/>
      <c r="C31" s="334"/>
      <c r="D31" s="334"/>
      <c r="E31" s="334"/>
      <c r="F31" s="335"/>
      <c r="G31" s="339"/>
      <c r="H31" s="339"/>
      <c r="I31" s="339"/>
      <c r="J31" s="339"/>
      <c r="K31" s="339"/>
      <c r="L31" s="339"/>
      <c r="M31" s="340"/>
    </row>
    <row r="32" spans="1:13" ht="19.5" customHeight="1">
      <c r="A32" s="333" t="s">
        <v>97</v>
      </c>
      <c r="B32" s="334"/>
      <c r="C32" s="334"/>
      <c r="D32" s="334"/>
      <c r="E32" s="334"/>
      <c r="F32" s="335"/>
      <c r="G32" s="341"/>
      <c r="H32" s="342"/>
      <c r="I32" s="342"/>
      <c r="J32" s="342"/>
      <c r="K32" s="342"/>
      <c r="L32" s="342"/>
      <c r="M32" s="343"/>
    </row>
    <row r="33" spans="1:13" ht="19.5" customHeight="1">
      <c r="A33" s="333" t="s">
        <v>98</v>
      </c>
      <c r="B33" s="334"/>
      <c r="C33" s="334"/>
      <c r="D33" s="334"/>
      <c r="E33" s="334"/>
      <c r="F33" s="335"/>
      <c r="G33" s="344" t="str">
        <f>IF(MND=0," ",MND)</f>
        <v xml:space="preserve"> </v>
      </c>
      <c r="H33" s="345"/>
      <c r="I33" s="345"/>
      <c r="J33" s="345"/>
      <c r="K33" s="345"/>
      <c r="L33" s="345"/>
      <c r="M33" s="346"/>
    </row>
    <row r="34" spans="1:13" ht="19.5" customHeight="1">
      <c r="A34" s="333" t="s">
        <v>99</v>
      </c>
      <c r="B34" s="334"/>
      <c r="C34" s="334"/>
      <c r="D34" s="334"/>
      <c r="E34" s="334"/>
      <c r="F34" s="335"/>
      <c r="G34" s="344" t="str">
        <f>IF(IAD=0," ",IAD)</f>
        <v xml:space="preserve"> </v>
      </c>
      <c r="H34" s="345"/>
      <c r="I34" s="345"/>
      <c r="J34" s="345"/>
      <c r="K34" s="345"/>
      <c r="L34" s="345"/>
      <c r="M34" s="346"/>
    </row>
    <row r="35" spans="1:13" ht="19.5" customHeight="1">
      <c r="A35" s="333" t="s">
        <v>100</v>
      </c>
      <c r="B35" s="334"/>
      <c r="C35" s="334"/>
      <c r="D35" s="334"/>
      <c r="E35" s="334"/>
      <c r="F35" s="335"/>
      <c r="G35" s="344" t="str">
        <f>IF(MRMD=0," ",MRMD)</f>
        <v xml:space="preserve"> </v>
      </c>
      <c r="H35" s="345"/>
      <c r="I35" s="345"/>
      <c r="J35" s="345"/>
      <c r="K35" s="345"/>
      <c r="L35" s="345"/>
      <c r="M35" s="346"/>
    </row>
    <row r="36" spans="1:13" ht="54" customHeight="1">
      <c r="A36" s="83" t="s">
        <v>101</v>
      </c>
      <c r="B36" s="304"/>
      <c r="C36" s="305"/>
      <c r="D36" s="305"/>
      <c r="E36" s="305"/>
      <c r="F36" s="306"/>
      <c r="G36" s="316" t="s">
        <v>102</v>
      </c>
      <c r="H36" s="317"/>
      <c r="I36" s="318"/>
      <c r="J36" s="347"/>
      <c r="K36" s="348"/>
      <c r="L36" s="348"/>
      <c r="M36" s="349"/>
    </row>
    <row r="37" spans="1:13" ht="30" customHeight="1">
      <c r="A37" s="83" t="s">
        <v>103</v>
      </c>
      <c r="B37" s="350"/>
      <c r="C37" s="351"/>
      <c r="D37" s="351"/>
      <c r="E37" s="351"/>
      <c r="F37" s="352"/>
      <c r="G37" s="316" t="s">
        <v>104</v>
      </c>
      <c r="H37" s="317"/>
      <c r="I37" s="318"/>
      <c r="J37" s="353"/>
      <c r="K37" s="354"/>
      <c r="L37" s="354"/>
      <c r="M37" s="355"/>
    </row>
    <row r="38" spans="1:13" ht="30" customHeight="1">
      <c r="A38" s="356" t="s">
        <v>818</v>
      </c>
      <c r="B38" s="357"/>
      <c r="C38" s="357"/>
      <c r="D38" s="357"/>
      <c r="E38" s="357"/>
      <c r="F38" s="357"/>
      <c r="G38" s="357"/>
      <c r="H38" s="357"/>
      <c r="I38" s="357"/>
      <c r="J38" s="357"/>
      <c r="K38" s="357"/>
      <c r="L38" s="357"/>
      <c r="M38" s="358"/>
    </row>
    <row r="39" spans="1:13" ht="30" customHeight="1">
      <c r="A39" s="362" t="s">
        <v>819</v>
      </c>
      <c r="B39" s="362"/>
      <c r="C39" s="362"/>
      <c r="D39" s="362"/>
      <c r="E39" s="362"/>
      <c r="F39" s="362"/>
      <c r="G39" s="362"/>
      <c r="H39" s="362"/>
      <c r="I39" s="362"/>
      <c r="J39" s="362"/>
      <c r="K39" s="362"/>
      <c r="L39" s="362"/>
      <c r="M39" s="362"/>
    </row>
    <row r="40" spans="1:13" ht="30" customHeight="1">
      <c r="A40" s="362" t="s">
        <v>820</v>
      </c>
      <c r="B40" s="362"/>
      <c r="C40" s="362"/>
      <c r="D40" s="362"/>
      <c r="E40" s="362"/>
      <c r="F40" s="362"/>
      <c r="G40" s="362"/>
      <c r="H40" s="362"/>
      <c r="I40" s="362"/>
      <c r="J40" s="362"/>
      <c r="K40" s="362"/>
      <c r="L40" s="362"/>
      <c r="M40" s="362"/>
    </row>
    <row r="41" spans="1:13" ht="36" customHeight="1">
      <c r="A41" s="359" t="s">
        <v>821</v>
      </c>
      <c r="B41" s="360"/>
      <c r="C41" s="360"/>
      <c r="D41" s="360"/>
      <c r="E41" s="360"/>
      <c r="F41" s="360"/>
      <c r="G41" s="360"/>
      <c r="H41" s="360"/>
      <c r="I41" s="360"/>
      <c r="J41" s="360"/>
      <c r="K41" s="360"/>
      <c r="L41" s="360"/>
      <c r="M41" s="361"/>
    </row>
    <row r="42" spans="1:13" ht="23.25" customHeight="1">
      <c r="A42" s="362" t="s">
        <v>822</v>
      </c>
      <c r="B42" s="362"/>
      <c r="C42" s="362"/>
      <c r="D42" s="362"/>
      <c r="E42" s="362"/>
      <c r="F42" s="362"/>
      <c r="G42" s="362"/>
      <c r="H42" s="362"/>
      <c r="I42" s="362"/>
      <c r="J42" s="362"/>
      <c r="K42" s="362"/>
      <c r="L42" s="362"/>
      <c r="M42" s="362"/>
    </row>
    <row r="43" spans="1:13" ht="24" customHeight="1">
      <c r="A43" s="359" t="s">
        <v>105</v>
      </c>
      <c r="B43" s="360"/>
      <c r="C43" s="360"/>
      <c r="D43" s="360"/>
      <c r="E43" s="360"/>
      <c r="F43" s="360"/>
      <c r="G43" s="360"/>
      <c r="H43" s="360"/>
      <c r="I43" s="360"/>
      <c r="J43" s="360"/>
      <c r="K43" s="360"/>
      <c r="L43" s="360"/>
      <c r="M43" s="361"/>
    </row>
    <row r="44" spans="1:13" ht="30" customHeight="1">
      <c r="A44" s="359" t="s">
        <v>823</v>
      </c>
      <c r="B44" s="360"/>
      <c r="C44" s="360"/>
      <c r="D44" s="360"/>
      <c r="E44" s="360"/>
      <c r="F44" s="360"/>
      <c r="G44" s="360"/>
      <c r="H44" s="360"/>
      <c r="I44" s="360"/>
      <c r="J44" s="360"/>
      <c r="K44" s="360"/>
      <c r="L44" s="360"/>
      <c r="M44" s="361"/>
    </row>
    <row r="45" spans="1:13" ht="30" customHeight="1">
      <c r="A45" s="359" t="s">
        <v>824</v>
      </c>
      <c r="B45" s="360"/>
      <c r="C45" s="360"/>
      <c r="D45" s="360"/>
      <c r="E45" s="360"/>
      <c r="F45" s="360"/>
      <c r="G45" s="360"/>
      <c r="H45" s="360"/>
      <c r="I45" s="360"/>
      <c r="J45" s="360"/>
      <c r="K45" s="360"/>
      <c r="L45" s="360"/>
      <c r="M45" s="361"/>
    </row>
    <row r="46" spans="1:13" ht="30" customHeight="1">
      <c r="A46" s="359" t="s">
        <v>825</v>
      </c>
      <c r="B46" s="360"/>
      <c r="C46" s="360"/>
      <c r="D46" s="360"/>
      <c r="E46" s="360"/>
      <c r="F46" s="360"/>
      <c r="G46" s="360"/>
      <c r="H46" s="360"/>
      <c r="I46" s="360"/>
      <c r="J46" s="360"/>
      <c r="K46" s="360"/>
      <c r="L46" s="360"/>
      <c r="M46" s="361"/>
    </row>
    <row r="47" spans="1:13" ht="30" customHeight="1">
      <c r="A47" s="359" t="s">
        <v>826</v>
      </c>
      <c r="B47" s="360"/>
      <c r="C47" s="360"/>
      <c r="D47" s="360"/>
      <c r="E47" s="360"/>
      <c r="F47" s="360"/>
      <c r="G47" s="360"/>
      <c r="H47" s="360"/>
      <c r="I47" s="360"/>
      <c r="J47" s="360"/>
      <c r="K47" s="360"/>
      <c r="L47" s="360"/>
      <c r="M47" s="361"/>
    </row>
    <row r="48" spans="1:13" ht="30" customHeight="1">
      <c r="A48" s="359" t="s">
        <v>827</v>
      </c>
      <c r="B48" s="360"/>
      <c r="C48" s="360"/>
      <c r="D48" s="360"/>
      <c r="E48" s="360"/>
      <c r="F48" s="360"/>
      <c r="G48" s="360"/>
      <c r="H48" s="360"/>
      <c r="I48" s="360"/>
      <c r="J48" s="360"/>
      <c r="K48" s="360"/>
      <c r="L48" s="360"/>
      <c r="M48" s="361"/>
    </row>
    <row r="49" spans="1:13" ht="30" customHeight="1">
      <c r="A49" s="359" t="s">
        <v>828</v>
      </c>
      <c r="B49" s="360"/>
      <c r="C49" s="360"/>
      <c r="D49" s="360"/>
      <c r="E49" s="360"/>
      <c r="F49" s="360"/>
      <c r="G49" s="360"/>
      <c r="H49" s="360"/>
      <c r="I49" s="360"/>
      <c r="J49" s="360"/>
      <c r="K49" s="360"/>
      <c r="L49" s="360"/>
      <c r="M49" s="361"/>
    </row>
    <row r="50" spans="1:13" ht="30" customHeight="1">
      <c r="A50" s="363" t="s">
        <v>106</v>
      </c>
      <c r="B50" s="364"/>
      <c r="C50" s="364"/>
      <c r="D50" s="364"/>
      <c r="E50" s="364"/>
      <c r="F50" s="364"/>
      <c r="G50" s="364"/>
      <c r="H50" s="364"/>
      <c r="I50" s="364"/>
      <c r="J50" s="364"/>
      <c r="K50" s="364"/>
      <c r="L50" s="364"/>
      <c r="M50" s="365"/>
    </row>
    <row r="51" spans="1:13" ht="18" customHeight="1">
      <c r="A51" s="366" t="s">
        <v>829</v>
      </c>
      <c r="B51" s="367"/>
      <c r="C51" s="367"/>
      <c r="D51" s="367"/>
      <c r="E51" s="367"/>
      <c r="F51" s="367"/>
      <c r="G51" s="367"/>
      <c r="H51" s="367"/>
      <c r="I51" s="367"/>
      <c r="J51" s="367"/>
      <c r="K51" s="367"/>
      <c r="L51" s="367"/>
      <c r="M51" s="368"/>
    </row>
    <row r="52" spans="1:13" ht="18" customHeight="1">
      <c r="A52" s="369" t="s">
        <v>830</v>
      </c>
      <c r="B52" s="370"/>
      <c r="C52" s="370"/>
      <c r="D52" s="370"/>
      <c r="E52" s="370"/>
      <c r="F52" s="370"/>
      <c r="G52" s="370"/>
      <c r="H52" s="370"/>
      <c r="I52" s="370"/>
      <c r="J52" s="370"/>
      <c r="K52" s="370"/>
      <c r="L52" s="370"/>
      <c r="M52" s="371"/>
    </row>
    <row r="53" spans="1:13" ht="18" customHeight="1">
      <c r="A53" s="372" t="s">
        <v>107</v>
      </c>
      <c r="B53" s="373"/>
      <c r="C53" s="373"/>
      <c r="D53" s="374"/>
      <c r="E53" s="375"/>
      <c r="F53" s="376"/>
      <c r="G53" s="377" t="s">
        <v>108</v>
      </c>
      <c r="H53" s="378"/>
      <c r="I53" s="378"/>
      <c r="J53" s="378"/>
      <c r="K53" s="378"/>
      <c r="L53" s="379"/>
      <c r="M53" s="129"/>
    </row>
    <row r="54" spans="1:13" ht="18" customHeight="1">
      <c r="A54" s="377" t="s">
        <v>109</v>
      </c>
      <c r="B54" s="378"/>
      <c r="C54" s="378"/>
      <c r="D54" s="379"/>
      <c r="E54" s="375"/>
      <c r="F54" s="376"/>
      <c r="G54" s="377" t="s">
        <v>110</v>
      </c>
      <c r="H54" s="378"/>
      <c r="I54" s="378"/>
      <c r="J54" s="378"/>
      <c r="K54" s="378"/>
      <c r="L54" s="379"/>
      <c r="M54" s="129"/>
    </row>
    <row r="55" spans="1:13" ht="25.5" customHeight="1">
      <c r="A55" s="380" t="s">
        <v>831</v>
      </c>
      <c r="B55" s="381"/>
      <c r="C55" s="381"/>
      <c r="D55" s="381"/>
      <c r="E55" s="381"/>
      <c r="F55" s="381"/>
      <c r="G55" s="381"/>
      <c r="H55" s="381"/>
      <c r="I55" s="381"/>
      <c r="J55" s="381"/>
      <c r="K55" s="381"/>
      <c r="L55" s="381"/>
      <c r="M55" s="382"/>
    </row>
    <row r="56" spans="1:13" ht="18" customHeight="1">
      <c r="A56" s="253" t="s">
        <v>111</v>
      </c>
      <c r="B56" s="254"/>
      <c r="C56" s="254"/>
      <c r="D56" s="254"/>
      <c r="E56" s="254"/>
      <c r="F56" s="254"/>
      <c r="G56" s="383"/>
      <c r="H56" s="383"/>
      <c r="I56" s="383"/>
      <c r="J56" s="383"/>
      <c r="K56" s="383"/>
      <c r="L56" s="383"/>
      <c r="M56" s="384"/>
    </row>
    <row r="57" spans="1:13" ht="30.75" customHeight="1">
      <c r="A57" s="253" t="s">
        <v>112</v>
      </c>
      <c r="B57" s="254"/>
      <c r="C57" s="254"/>
      <c r="D57" s="130"/>
      <c r="E57" s="385" t="s">
        <v>113</v>
      </c>
      <c r="F57" s="385"/>
      <c r="G57" s="385"/>
      <c r="H57" s="130"/>
      <c r="I57" s="385" t="s">
        <v>114</v>
      </c>
      <c r="J57" s="385"/>
      <c r="K57" s="130"/>
      <c r="L57" s="131" t="s">
        <v>115</v>
      </c>
      <c r="M57" s="132"/>
    </row>
    <row r="58" spans="1:13" ht="33.75" customHeight="1">
      <c r="A58" s="253" t="s">
        <v>116</v>
      </c>
      <c r="B58" s="254"/>
      <c r="C58" s="254"/>
      <c r="D58" s="254"/>
      <c r="E58" s="255"/>
      <c r="F58" s="133"/>
      <c r="G58" s="242" t="s">
        <v>117</v>
      </c>
      <c r="H58" s="385"/>
      <c r="I58" s="385"/>
      <c r="J58" s="385"/>
      <c r="K58" s="385"/>
      <c r="L58" s="243"/>
      <c r="M58" s="133"/>
    </row>
    <row r="59" spans="1:13" ht="69" customHeight="1">
      <c r="A59" s="253" t="s">
        <v>118</v>
      </c>
      <c r="B59" s="254"/>
      <c r="C59" s="255"/>
      <c r="D59" s="386"/>
      <c r="E59" s="386"/>
      <c r="F59" s="134"/>
      <c r="G59" s="242" t="s">
        <v>119</v>
      </c>
      <c r="H59" s="385"/>
      <c r="I59" s="385"/>
      <c r="J59" s="385"/>
      <c r="K59" s="385"/>
      <c r="L59" s="243"/>
      <c r="M59" s="133"/>
    </row>
    <row r="60" spans="1:13" ht="18" customHeight="1">
      <c r="A60" s="242" t="s">
        <v>120</v>
      </c>
      <c r="B60" s="385"/>
      <c r="C60" s="385"/>
      <c r="D60" s="385"/>
      <c r="E60" s="385"/>
      <c r="F60" s="385"/>
      <c r="G60" s="385"/>
      <c r="H60" s="385"/>
      <c r="I60" s="385"/>
      <c r="J60" s="385"/>
      <c r="K60" s="243"/>
      <c r="L60" s="387"/>
      <c r="M60" s="384"/>
    </row>
    <row r="61" spans="1:13" ht="18" customHeight="1">
      <c r="A61" s="242" t="s">
        <v>121</v>
      </c>
      <c r="B61" s="385"/>
      <c r="C61" s="385"/>
      <c r="D61" s="385"/>
      <c r="E61" s="385"/>
      <c r="F61" s="385"/>
      <c r="G61" s="385"/>
      <c r="H61" s="385"/>
      <c r="I61" s="385"/>
      <c r="J61" s="385"/>
      <c r="K61" s="243"/>
      <c r="L61" s="387"/>
      <c r="M61" s="384"/>
    </row>
    <row r="62" spans="1:13" ht="18" customHeight="1">
      <c r="A62" s="388" t="s">
        <v>122</v>
      </c>
      <c r="B62" s="389"/>
      <c r="C62" s="389"/>
      <c r="D62" s="389"/>
      <c r="E62" s="389"/>
      <c r="F62" s="389"/>
      <c r="G62" s="389"/>
      <c r="H62" s="389"/>
      <c r="I62" s="389"/>
      <c r="J62" s="389"/>
      <c r="K62" s="390"/>
      <c r="L62" s="387"/>
      <c r="M62" s="384"/>
    </row>
    <row r="63" spans="1:13" ht="18" customHeight="1">
      <c r="A63" s="391" t="s">
        <v>123</v>
      </c>
      <c r="B63" s="392"/>
      <c r="C63" s="392"/>
      <c r="D63" s="392"/>
      <c r="E63" s="392"/>
      <c r="F63" s="392"/>
      <c r="G63" s="392"/>
      <c r="H63" s="392"/>
      <c r="I63" s="392"/>
      <c r="J63" s="392"/>
      <c r="K63" s="393"/>
      <c r="L63" s="387"/>
      <c r="M63" s="384"/>
    </row>
    <row r="64" spans="1:13" ht="18" customHeight="1">
      <c r="A64" s="391" t="s">
        <v>124</v>
      </c>
      <c r="B64" s="392"/>
      <c r="C64" s="392"/>
      <c r="D64" s="392"/>
      <c r="E64" s="392"/>
      <c r="F64" s="392"/>
      <c r="G64" s="392"/>
      <c r="H64" s="392"/>
      <c r="I64" s="392"/>
      <c r="J64" s="392"/>
      <c r="K64" s="393"/>
      <c r="L64" s="387"/>
      <c r="M64" s="384"/>
    </row>
    <row r="65" spans="1:13" ht="18" customHeight="1">
      <c r="A65" s="391" t="s">
        <v>125</v>
      </c>
      <c r="B65" s="392"/>
      <c r="C65" s="392"/>
      <c r="D65" s="392"/>
      <c r="E65" s="392"/>
      <c r="F65" s="392"/>
      <c r="G65" s="392"/>
      <c r="H65" s="392"/>
      <c r="I65" s="392"/>
      <c r="J65" s="392"/>
      <c r="K65" s="393"/>
      <c r="L65" s="387"/>
      <c r="M65" s="384"/>
    </row>
    <row r="66" spans="1:13" ht="18" customHeight="1">
      <c r="A66" s="388" t="s">
        <v>126</v>
      </c>
      <c r="B66" s="389"/>
      <c r="C66" s="389"/>
      <c r="D66" s="389"/>
      <c r="E66" s="389"/>
      <c r="F66" s="389"/>
      <c r="G66" s="389"/>
      <c r="H66" s="389"/>
      <c r="I66" s="389"/>
      <c r="J66" s="389"/>
      <c r="K66" s="390"/>
      <c r="L66" s="387"/>
      <c r="M66" s="384"/>
    </row>
    <row r="67" spans="1:13" ht="18" customHeight="1">
      <c r="A67" s="242" t="s">
        <v>127</v>
      </c>
      <c r="B67" s="385"/>
      <c r="C67" s="385"/>
      <c r="D67" s="385"/>
      <c r="E67" s="385"/>
      <c r="F67" s="385"/>
      <c r="G67" s="385"/>
      <c r="H67" s="385"/>
      <c r="I67" s="385"/>
      <c r="J67" s="385"/>
      <c r="K67" s="243"/>
      <c r="L67" s="387"/>
      <c r="M67" s="384"/>
    </row>
    <row r="68" spans="1:13" ht="36" customHeight="1">
      <c r="A68" s="242" t="s">
        <v>832</v>
      </c>
      <c r="B68" s="385"/>
      <c r="C68" s="385"/>
      <c r="D68" s="385"/>
      <c r="E68" s="385"/>
      <c r="F68" s="385"/>
      <c r="G68" s="385"/>
      <c r="H68" s="385"/>
      <c r="I68" s="385"/>
      <c r="J68" s="385"/>
      <c r="K68" s="385"/>
      <c r="L68" s="385"/>
      <c r="M68" s="243"/>
    </row>
    <row r="69" spans="1:13" ht="18" customHeight="1">
      <c r="A69" s="394"/>
      <c r="B69" s="395"/>
      <c r="C69" s="395"/>
      <c r="D69" s="395"/>
      <c r="E69" s="395"/>
      <c r="F69" s="395"/>
      <c r="G69" s="395"/>
      <c r="H69" s="395"/>
      <c r="I69" s="395"/>
      <c r="J69" s="395"/>
      <c r="K69" s="395"/>
      <c r="L69" s="395"/>
      <c r="M69" s="396"/>
    </row>
    <row r="70" spans="1:13" ht="40.5" customHeight="1">
      <c r="A70" s="388" t="s">
        <v>128</v>
      </c>
      <c r="B70" s="389"/>
      <c r="C70" s="390"/>
      <c r="D70" s="397"/>
      <c r="E70" s="397"/>
      <c r="F70" s="397"/>
      <c r="G70" s="397"/>
      <c r="H70" s="397"/>
      <c r="I70" s="397"/>
      <c r="J70" s="397"/>
      <c r="K70" s="397"/>
      <c r="L70" s="397"/>
      <c r="M70" s="397"/>
    </row>
    <row r="71" spans="1:13" ht="18" customHeight="1">
      <c r="A71" s="242" t="s">
        <v>129</v>
      </c>
      <c r="B71" s="385"/>
      <c r="C71" s="385"/>
      <c r="D71" s="385"/>
      <c r="E71" s="385"/>
      <c r="F71" s="385"/>
      <c r="G71" s="385"/>
      <c r="H71" s="385"/>
      <c r="I71" s="385"/>
      <c r="J71" s="385"/>
      <c r="K71" s="243"/>
      <c r="L71" s="387"/>
      <c r="M71" s="384"/>
    </row>
    <row r="72" spans="1:13" ht="18" customHeight="1">
      <c r="A72" s="398" t="s">
        <v>833</v>
      </c>
      <c r="B72" s="399"/>
      <c r="C72" s="399"/>
      <c r="D72" s="399"/>
      <c r="E72" s="399"/>
      <c r="F72" s="399"/>
      <c r="G72" s="399"/>
      <c r="H72" s="399"/>
      <c r="I72" s="399"/>
      <c r="J72" s="399"/>
      <c r="K72" s="399"/>
      <c r="L72" s="399"/>
      <c r="M72" s="400"/>
    </row>
    <row r="73" spans="1:13" ht="18" customHeight="1">
      <c r="A73" s="401" t="s">
        <v>130</v>
      </c>
      <c r="B73" s="402"/>
      <c r="C73" s="402"/>
      <c r="D73" s="403"/>
      <c r="E73" s="404"/>
      <c r="F73" s="405"/>
      <c r="G73" s="405"/>
      <c r="H73" s="405"/>
      <c r="I73" s="405"/>
      <c r="J73" s="405"/>
      <c r="K73" s="405"/>
      <c r="L73" s="405"/>
      <c r="M73" s="406"/>
    </row>
    <row r="74" spans="1:13" ht="18" customHeight="1">
      <c r="A74" s="401" t="s">
        <v>131</v>
      </c>
      <c r="B74" s="402"/>
      <c r="C74" s="402"/>
      <c r="D74" s="403"/>
      <c r="E74" s="407"/>
      <c r="F74" s="408"/>
      <c r="G74" s="408"/>
      <c r="H74" s="408"/>
      <c r="I74" s="408"/>
      <c r="J74" s="408"/>
      <c r="K74" s="408"/>
      <c r="L74" s="408"/>
      <c r="M74" s="409"/>
    </row>
    <row r="75" spans="1:13" ht="18" customHeight="1">
      <c r="A75" s="401" t="s">
        <v>132</v>
      </c>
      <c r="B75" s="402"/>
      <c r="C75" s="402"/>
      <c r="D75" s="403"/>
      <c r="E75" s="407"/>
      <c r="F75" s="408"/>
      <c r="G75" s="408"/>
      <c r="H75" s="408"/>
      <c r="I75" s="408"/>
      <c r="J75" s="408"/>
      <c r="K75" s="408"/>
      <c r="L75" s="408"/>
      <c r="M75" s="409"/>
    </row>
    <row r="76" spans="1:13" ht="89.25" customHeight="1">
      <c r="A76" s="401" t="s">
        <v>834</v>
      </c>
      <c r="B76" s="402"/>
      <c r="C76" s="402"/>
      <c r="D76" s="403"/>
      <c r="E76" s="407"/>
      <c r="F76" s="408"/>
      <c r="G76" s="408"/>
      <c r="H76" s="408"/>
      <c r="I76" s="408"/>
      <c r="J76" s="408"/>
      <c r="K76" s="408"/>
      <c r="L76" s="408"/>
      <c r="M76" s="409"/>
    </row>
    <row r="77" spans="1:13" ht="29.25" customHeight="1">
      <c r="A77" s="401" t="s">
        <v>133</v>
      </c>
      <c r="B77" s="402"/>
      <c r="C77" s="402"/>
      <c r="D77" s="403"/>
      <c r="E77" s="407"/>
      <c r="F77" s="408"/>
      <c r="G77" s="408"/>
      <c r="H77" s="408"/>
      <c r="I77" s="408"/>
      <c r="J77" s="408"/>
      <c r="K77" s="408"/>
      <c r="L77" s="408"/>
      <c r="M77" s="409"/>
    </row>
    <row r="78" spans="1:13" ht="25.5" customHeight="1">
      <c r="A78" s="401" t="s">
        <v>134</v>
      </c>
      <c r="B78" s="402"/>
      <c r="C78" s="402"/>
      <c r="D78" s="403"/>
      <c r="E78" s="410"/>
      <c r="F78" s="411"/>
      <c r="G78" s="411"/>
      <c r="H78" s="411"/>
      <c r="I78" s="411"/>
      <c r="J78" s="411"/>
      <c r="K78" s="411"/>
      <c r="L78" s="411"/>
      <c r="M78" s="412"/>
    </row>
    <row r="79" spans="1:13" ht="18" customHeight="1">
      <c r="A79" s="401" t="s">
        <v>135</v>
      </c>
      <c r="B79" s="402"/>
      <c r="C79" s="402"/>
      <c r="D79" s="403"/>
      <c r="E79" s="410"/>
      <c r="F79" s="411"/>
      <c r="G79" s="411"/>
      <c r="H79" s="411"/>
      <c r="I79" s="411"/>
      <c r="J79" s="411"/>
      <c r="K79" s="411"/>
      <c r="L79" s="411"/>
      <c r="M79" s="412"/>
    </row>
    <row r="80" spans="1:13" ht="36.75" customHeight="1">
      <c r="A80" s="401" t="s">
        <v>136</v>
      </c>
      <c r="B80" s="402"/>
      <c r="C80" s="402"/>
      <c r="D80" s="403"/>
      <c r="E80" s="407"/>
      <c r="F80" s="408"/>
      <c r="G80" s="408"/>
      <c r="H80" s="408"/>
      <c r="I80" s="408"/>
      <c r="J80" s="408"/>
      <c r="K80" s="408"/>
      <c r="L80" s="408"/>
      <c r="M80" s="409"/>
    </row>
    <row r="81" spans="1:13" ht="18" customHeight="1">
      <c r="A81" s="401" t="s">
        <v>137</v>
      </c>
      <c r="B81" s="402"/>
      <c r="C81" s="402"/>
      <c r="D81" s="403"/>
      <c r="E81" s="407"/>
      <c r="F81" s="408"/>
      <c r="G81" s="408"/>
      <c r="H81" s="408"/>
      <c r="I81" s="408"/>
      <c r="J81" s="408"/>
      <c r="K81" s="408"/>
      <c r="L81" s="408"/>
      <c r="M81" s="409"/>
    </row>
    <row r="82" spans="1:13" ht="18" customHeight="1">
      <c r="A82" s="401" t="s">
        <v>138</v>
      </c>
      <c r="B82" s="402"/>
      <c r="C82" s="402"/>
      <c r="D82" s="403"/>
      <c r="E82" s="407"/>
      <c r="F82" s="408"/>
      <c r="G82" s="408"/>
      <c r="H82" s="408"/>
      <c r="I82" s="408"/>
      <c r="J82" s="408"/>
      <c r="K82" s="408"/>
      <c r="L82" s="408"/>
      <c r="M82" s="409"/>
    </row>
    <row r="83" spans="1:13" ht="18" customHeight="1">
      <c r="A83" s="401" t="s">
        <v>139</v>
      </c>
      <c r="B83" s="402"/>
      <c r="C83" s="402"/>
      <c r="D83" s="403"/>
      <c r="E83" s="407"/>
      <c r="F83" s="408"/>
      <c r="G83" s="408"/>
      <c r="H83" s="408"/>
      <c r="I83" s="408"/>
      <c r="J83" s="408"/>
      <c r="K83" s="408"/>
      <c r="L83" s="408"/>
      <c r="M83" s="409"/>
    </row>
    <row r="84" spans="1:13" ht="18" customHeight="1">
      <c r="A84" s="413" t="s">
        <v>835</v>
      </c>
      <c r="B84" s="413"/>
      <c r="C84" s="413"/>
      <c r="D84" s="413"/>
      <c r="E84" s="135"/>
      <c r="F84" s="136"/>
      <c r="G84" s="136"/>
      <c r="H84" s="136"/>
      <c r="I84" s="136"/>
      <c r="J84" s="136"/>
      <c r="K84" s="136"/>
      <c r="L84" s="136"/>
      <c r="M84" s="137"/>
    </row>
    <row r="85" spans="1:13" ht="18" customHeight="1">
      <c r="A85" s="413" t="s">
        <v>836</v>
      </c>
      <c r="B85" s="413"/>
      <c r="C85" s="413"/>
      <c r="D85" s="413"/>
      <c r="E85" s="135"/>
      <c r="F85" s="136"/>
      <c r="G85" s="136"/>
      <c r="H85" s="136"/>
      <c r="I85" s="136"/>
      <c r="J85" s="136"/>
      <c r="K85" s="136"/>
      <c r="L85" s="136"/>
      <c r="M85" s="137"/>
    </row>
    <row r="86" spans="1:13" ht="18" customHeight="1">
      <c r="A86" s="413" t="s">
        <v>837</v>
      </c>
      <c r="B86" s="413"/>
      <c r="C86" s="413"/>
      <c r="D86" s="413"/>
      <c r="E86" s="135"/>
      <c r="F86" s="136"/>
      <c r="G86" s="136"/>
      <c r="H86" s="136"/>
      <c r="I86" s="136"/>
      <c r="J86" s="136"/>
      <c r="K86" s="136"/>
      <c r="L86" s="136"/>
      <c r="M86" s="137"/>
    </row>
    <row r="87" spans="1:13" ht="18" customHeight="1">
      <c r="A87" s="413" t="s">
        <v>838</v>
      </c>
      <c r="B87" s="413"/>
      <c r="C87" s="413"/>
      <c r="D87" s="413"/>
      <c r="E87" s="135"/>
      <c r="F87" s="136"/>
      <c r="G87" s="136"/>
      <c r="H87" s="136"/>
      <c r="I87" s="136"/>
      <c r="J87" s="136"/>
      <c r="K87" s="136"/>
      <c r="L87" s="136"/>
      <c r="M87" s="137"/>
    </row>
    <row r="88" spans="1:13" ht="18" customHeight="1">
      <c r="A88" s="413" t="s">
        <v>839</v>
      </c>
      <c r="B88" s="413"/>
      <c r="C88" s="413"/>
      <c r="D88" s="413"/>
      <c r="E88" s="135"/>
      <c r="F88" s="136"/>
      <c r="G88" s="136"/>
      <c r="H88" s="136"/>
      <c r="I88" s="136"/>
      <c r="J88" s="136"/>
      <c r="K88" s="136"/>
      <c r="L88" s="136"/>
      <c r="M88" s="137"/>
    </row>
    <row r="89" spans="1:13" ht="18" customHeight="1">
      <c r="A89" s="413" t="s">
        <v>840</v>
      </c>
      <c r="B89" s="413"/>
      <c r="C89" s="413"/>
      <c r="D89" s="413"/>
      <c r="E89" s="135"/>
      <c r="F89" s="136"/>
      <c r="G89" s="136"/>
      <c r="H89" s="136"/>
      <c r="I89" s="136"/>
      <c r="J89" s="136"/>
      <c r="K89" s="136"/>
      <c r="L89" s="136"/>
      <c r="M89" s="137"/>
    </row>
    <row r="90" spans="1:13" ht="57" customHeight="1">
      <c r="A90" s="413" t="s">
        <v>841</v>
      </c>
      <c r="B90" s="413"/>
      <c r="C90" s="413"/>
      <c r="D90" s="413"/>
      <c r="E90" s="138"/>
      <c r="F90" s="139"/>
      <c r="G90" s="139"/>
      <c r="H90" s="139"/>
      <c r="I90" s="139"/>
      <c r="J90" s="139"/>
      <c r="K90" s="139"/>
      <c r="L90" s="139"/>
      <c r="M90" s="140"/>
    </row>
    <row r="91" spans="1:13" ht="19.5" customHeight="1">
      <c r="A91" s="413" t="s">
        <v>842</v>
      </c>
      <c r="B91" s="413"/>
      <c r="C91" s="413"/>
      <c r="D91" s="413"/>
      <c r="E91" s="135"/>
      <c r="F91" s="136"/>
      <c r="G91" s="136"/>
      <c r="H91" s="136"/>
      <c r="I91" s="136"/>
      <c r="J91" s="136"/>
      <c r="K91" s="136"/>
      <c r="L91" s="136"/>
      <c r="M91" s="137"/>
    </row>
    <row r="92" spans="1:13" ht="46.5" customHeight="1">
      <c r="A92" s="413" t="s">
        <v>843</v>
      </c>
      <c r="B92" s="413"/>
      <c r="C92" s="413"/>
      <c r="D92" s="413"/>
      <c r="E92" s="407"/>
      <c r="F92" s="408"/>
      <c r="G92" s="408"/>
      <c r="H92" s="408"/>
      <c r="I92" s="408"/>
      <c r="J92" s="408"/>
      <c r="K92" s="408"/>
      <c r="L92" s="408"/>
      <c r="M92" s="409"/>
    </row>
    <row r="93" spans="1:13" ht="95.25" customHeight="1">
      <c r="A93" s="413" t="s">
        <v>844</v>
      </c>
      <c r="B93" s="413"/>
      <c r="C93" s="413"/>
      <c r="D93" s="413"/>
      <c r="E93" s="410"/>
      <c r="F93" s="411"/>
      <c r="G93" s="411"/>
      <c r="H93" s="411"/>
      <c r="I93" s="411"/>
      <c r="J93" s="411"/>
      <c r="K93" s="411"/>
      <c r="L93" s="411"/>
      <c r="M93" s="412"/>
    </row>
    <row r="94" spans="1:13" ht="70.5" customHeight="1">
      <c r="A94" s="413" t="s">
        <v>845</v>
      </c>
      <c r="B94" s="413"/>
      <c r="C94" s="413"/>
      <c r="D94" s="413"/>
      <c r="E94" s="410"/>
      <c r="F94" s="411"/>
      <c r="G94" s="411"/>
      <c r="H94" s="411"/>
      <c r="I94" s="411"/>
      <c r="J94" s="411"/>
      <c r="K94" s="411"/>
      <c r="L94" s="411"/>
      <c r="M94" s="412"/>
    </row>
    <row r="95" spans="1:13" ht="34.5" customHeight="1">
      <c r="A95" s="413" t="s">
        <v>846</v>
      </c>
      <c r="B95" s="413"/>
      <c r="C95" s="413"/>
      <c r="D95" s="413"/>
      <c r="E95" s="410"/>
      <c r="F95" s="411"/>
      <c r="G95" s="411"/>
      <c r="H95" s="411"/>
      <c r="I95" s="411"/>
      <c r="J95" s="411"/>
      <c r="K95" s="411"/>
      <c r="L95" s="411"/>
      <c r="M95" s="412"/>
    </row>
    <row r="96" spans="1:13" ht="72.75" customHeight="1">
      <c r="A96" s="413" t="s">
        <v>847</v>
      </c>
      <c r="B96" s="413"/>
      <c r="C96" s="413"/>
      <c r="D96" s="413"/>
      <c r="E96" s="410"/>
      <c r="F96" s="411"/>
      <c r="G96" s="411"/>
      <c r="H96" s="411"/>
      <c r="I96" s="411"/>
      <c r="J96" s="411"/>
      <c r="K96" s="411"/>
      <c r="L96" s="411"/>
      <c r="M96" s="412"/>
    </row>
    <row r="97" spans="1:15" ht="98.25" customHeight="1">
      <c r="A97" s="414" t="s">
        <v>848</v>
      </c>
      <c r="B97" s="415"/>
      <c r="C97" s="415"/>
      <c r="D97" s="415"/>
      <c r="E97" s="415"/>
      <c r="F97" s="415"/>
      <c r="G97" s="415"/>
      <c r="H97" s="415"/>
      <c r="I97" s="415"/>
      <c r="J97" s="415"/>
      <c r="K97" s="415"/>
      <c r="L97" s="415"/>
      <c r="M97" s="416"/>
    </row>
    <row r="98" spans="1:15" ht="78" customHeight="1">
      <c r="A98" s="421" t="s">
        <v>140</v>
      </c>
      <c r="B98" s="422"/>
      <c r="C98" s="422"/>
      <c r="D98" s="422"/>
      <c r="E98" s="422"/>
      <c r="F98" s="422"/>
      <c r="G98" s="422"/>
      <c r="H98" s="422"/>
      <c r="I98" s="422"/>
      <c r="J98" s="422"/>
      <c r="K98" s="422"/>
      <c r="L98" s="422"/>
      <c r="M98" s="423"/>
    </row>
    <row r="99" spans="1:15" ht="22.5" customHeight="1">
      <c r="A99" s="417" t="s">
        <v>849</v>
      </c>
      <c r="B99" s="418"/>
      <c r="C99" s="418"/>
      <c r="D99" s="418"/>
      <c r="E99" s="418"/>
      <c r="F99" s="418"/>
      <c r="G99" s="418"/>
      <c r="H99" s="418"/>
      <c r="I99" s="418"/>
      <c r="J99" s="418"/>
      <c r="K99" s="418"/>
      <c r="L99" s="418"/>
      <c r="M99" s="419"/>
    </row>
    <row r="100" spans="1:15" ht="60.75" customHeight="1">
      <c r="A100" s="242" t="s">
        <v>141</v>
      </c>
      <c r="B100" s="385"/>
      <c r="C100" s="385"/>
      <c r="D100" s="243"/>
      <c r="E100" s="424" t="s">
        <v>142</v>
      </c>
      <c r="F100" s="425"/>
      <c r="G100" s="425"/>
      <c r="H100" s="425"/>
      <c r="I100" s="425"/>
      <c r="J100" s="425"/>
      <c r="K100" s="425"/>
      <c r="L100" s="425"/>
      <c r="M100" s="426"/>
    </row>
    <row r="101" spans="1:15" ht="88.5" customHeight="1">
      <c r="A101" s="242" t="s">
        <v>143</v>
      </c>
      <c r="B101" s="385"/>
      <c r="C101" s="385"/>
      <c r="D101" s="243"/>
      <c r="E101" s="424" t="s">
        <v>144</v>
      </c>
      <c r="F101" s="425"/>
      <c r="G101" s="425"/>
      <c r="H101" s="425"/>
      <c r="I101" s="425"/>
      <c r="J101" s="425"/>
      <c r="K101" s="425"/>
      <c r="L101" s="425"/>
      <c r="M101" s="426"/>
    </row>
    <row r="102" spans="1:15" ht="64.5" customHeight="1">
      <c r="A102" s="242" t="s">
        <v>145</v>
      </c>
      <c r="B102" s="385"/>
      <c r="C102" s="385"/>
      <c r="D102" s="243"/>
      <c r="E102" s="424" t="s">
        <v>146</v>
      </c>
      <c r="F102" s="425"/>
      <c r="G102" s="425"/>
      <c r="H102" s="425"/>
      <c r="I102" s="425"/>
      <c r="J102" s="425"/>
      <c r="K102" s="425"/>
      <c r="L102" s="425"/>
      <c r="M102" s="426"/>
    </row>
    <row r="103" spans="1:15" ht="33" customHeight="1">
      <c r="A103" s="420" t="s">
        <v>850</v>
      </c>
      <c r="B103" s="385"/>
      <c r="C103" s="385"/>
      <c r="D103" s="385"/>
      <c r="E103" s="385"/>
      <c r="F103" s="385"/>
      <c r="G103" s="385"/>
      <c r="H103" s="385"/>
      <c r="I103" s="385"/>
      <c r="J103" s="385"/>
      <c r="K103" s="385"/>
      <c r="L103" s="385"/>
      <c r="M103" s="243"/>
    </row>
    <row r="104" spans="1:15" ht="74.25" customHeight="1">
      <c r="A104" s="242" t="s">
        <v>147</v>
      </c>
      <c r="B104" s="385"/>
      <c r="C104" s="385"/>
      <c r="D104" s="243"/>
      <c r="E104" s="424" t="s">
        <v>148</v>
      </c>
      <c r="F104" s="425"/>
      <c r="G104" s="425"/>
      <c r="H104" s="425"/>
      <c r="I104" s="425"/>
      <c r="J104" s="425"/>
      <c r="K104" s="425"/>
      <c r="L104" s="425"/>
      <c r="M104" s="426"/>
      <c r="O104"/>
    </row>
    <row r="105" spans="1:15" ht="87.75" customHeight="1">
      <c r="A105" s="242" t="s">
        <v>149</v>
      </c>
      <c r="B105" s="385"/>
      <c r="C105" s="385"/>
      <c r="D105" s="243"/>
      <c r="E105" s="424" t="s">
        <v>150</v>
      </c>
      <c r="F105" s="425"/>
      <c r="G105" s="425"/>
      <c r="H105" s="425"/>
      <c r="I105" s="425"/>
      <c r="J105" s="425"/>
      <c r="K105" s="425"/>
      <c r="L105" s="425"/>
      <c r="M105" s="426"/>
      <c r="O105"/>
    </row>
    <row r="106" spans="1:15" ht="121.5" customHeight="1">
      <c r="A106" s="242" t="s">
        <v>151</v>
      </c>
      <c r="B106" s="385"/>
      <c r="C106" s="385"/>
      <c r="D106" s="243"/>
      <c r="E106" s="424" t="s">
        <v>152</v>
      </c>
      <c r="F106" s="425"/>
      <c r="G106" s="425"/>
      <c r="H106" s="425"/>
      <c r="I106" s="425"/>
      <c r="J106" s="425"/>
      <c r="K106" s="425"/>
      <c r="L106" s="425"/>
      <c r="M106" s="426"/>
    </row>
    <row r="107" spans="1:15" ht="24.75" customHeight="1">
      <c r="A107" s="420" t="s">
        <v>153</v>
      </c>
      <c r="B107" s="427"/>
      <c r="C107" s="427"/>
      <c r="D107" s="427"/>
      <c r="E107" s="427"/>
      <c r="F107" s="427"/>
      <c r="G107" s="427"/>
      <c r="H107" s="427"/>
      <c r="I107" s="427"/>
      <c r="J107" s="427"/>
      <c r="K107" s="427"/>
      <c r="L107" s="427"/>
      <c r="M107" s="428"/>
    </row>
    <row r="108" spans="1:15" ht="114" customHeight="1">
      <c r="A108" s="433" t="s">
        <v>851</v>
      </c>
      <c r="B108" s="434"/>
      <c r="C108" s="434"/>
      <c r="D108" s="434"/>
      <c r="E108" s="434"/>
      <c r="F108" s="434"/>
      <c r="G108" s="434"/>
      <c r="H108" s="434"/>
      <c r="I108" s="434"/>
      <c r="J108" s="434"/>
      <c r="K108" s="434"/>
      <c r="L108" s="434"/>
      <c r="M108" s="435"/>
    </row>
    <row r="109" spans="1:15" ht="48" customHeight="1">
      <c r="A109" s="429" t="s">
        <v>852</v>
      </c>
      <c r="B109" s="430"/>
      <c r="C109" s="430"/>
      <c r="D109" s="430"/>
      <c r="E109" s="430"/>
      <c r="F109" s="430"/>
      <c r="G109" s="430"/>
      <c r="H109" s="430"/>
      <c r="I109" s="430"/>
      <c r="J109" s="430"/>
      <c r="K109" s="430"/>
      <c r="L109" s="430"/>
      <c r="M109" s="431"/>
    </row>
    <row r="110" spans="1:15" ht="30" customHeight="1">
      <c r="A110" s="432" t="s">
        <v>853</v>
      </c>
      <c r="B110" s="432"/>
      <c r="C110" s="432"/>
      <c r="D110" s="432"/>
      <c r="E110" s="432"/>
      <c r="F110" s="432"/>
      <c r="G110" s="432"/>
      <c r="H110" s="432"/>
      <c r="I110" s="432"/>
      <c r="J110" s="436"/>
      <c r="K110" s="437"/>
      <c r="L110" s="437"/>
      <c r="M110" s="438"/>
    </row>
    <row r="111" spans="1:15" ht="39" customHeight="1">
      <c r="A111" s="432" t="s">
        <v>854</v>
      </c>
      <c r="B111" s="432"/>
      <c r="C111" s="432"/>
      <c r="D111" s="432"/>
      <c r="E111" s="432"/>
      <c r="F111" s="432"/>
      <c r="G111" s="432"/>
      <c r="H111" s="432"/>
      <c r="I111" s="432"/>
      <c r="J111" s="436"/>
      <c r="K111" s="437"/>
      <c r="L111" s="437"/>
      <c r="M111" s="438"/>
    </row>
    <row r="112" spans="1:15" ht="39.75" customHeight="1">
      <c r="A112" s="432" t="s">
        <v>855</v>
      </c>
      <c r="B112" s="432"/>
      <c r="C112" s="432"/>
      <c r="D112" s="432"/>
      <c r="E112" s="432"/>
      <c r="F112" s="432"/>
      <c r="G112" s="432"/>
      <c r="H112" s="432"/>
      <c r="I112" s="432"/>
      <c r="J112" s="439"/>
      <c r="K112" s="439"/>
      <c r="L112" s="439"/>
      <c r="M112" s="439"/>
    </row>
    <row r="113" spans="1:13" ht="45.75" customHeight="1">
      <c r="A113" s="432" t="s">
        <v>856</v>
      </c>
      <c r="B113" s="432"/>
      <c r="C113" s="432"/>
      <c r="D113" s="432"/>
      <c r="E113" s="432"/>
      <c r="F113" s="432"/>
      <c r="G113" s="432"/>
      <c r="H113" s="432"/>
      <c r="I113" s="432"/>
      <c r="J113" s="436"/>
      <c r="K113" s="437"/>
      <c r="L113" s="437"/>
      <c r="M113" s="438"/>
    </row>
    <row r="114" spans="1:13" ht="26.25" customHeight="1">
      <c r="A114" s="440" t="s">
        <v>857</v>
      </c>
      <c r="B114" s="441"/>
      <c r="C114" s="441"/>
      <c r="D114" s="441"/>
      <c r="E114" s="441"/>
      <c r="F114" s="441"/>
      <c r="G114" s="441"/>
      <c r="H114" s="441"/>
      <c r="I114" s="441"/>
      <c r="J114" s="441"/>
      <c r="K114" s="441"/>
      <c r="L114" s="441"/>
      <c r="M114" s="442"/>
    </row>
    <row r="115" spans="1:13" ht="26.25" customHeight="1">
      <c r="A115" s="417" t="s">
        <v>154</v>
      </c>
      <c r="B115" s="418"/>
      <c r="C115" s="418"/>
      <c r="D115" s="418"/>
      <c r="E115" s="418"/>
      <c r="F115" s="418"/>
      <c r="G115" s="418"/>
      <c r="H115" s="418"/>
      <c r="I115" s="418"/>
      <c r="J115" s="418"/>
      <c r="K115" s="418"/>
      <c r="L115" s="418"/>
      <c r="M115" s="419"/>
    </row>
    <row r="116" spans="1:13" ht="33" customHeight="1">
      <c r="A116" s="443" t="s">
        <v>155</v>
      </c>
      <c r="B116" s="444"/>
      <c r="C116" s="444"/>
      <c r="D116" s="444"/>
      <c r="E116" s="444"/>
      <c r="F116" s="444"/>
      <c r="G116" s="444"/>
      <c r="H116" s="444"/>
      <c r="I116" s="444"/>
      <c r="J116" s="444"/>
      <c r="K116" s="444"/>
      <c r="L116" s="444"/>
      <c r="M116" s="445"/>
    </row>
    <row r="117" spans="1:13" ht="91.5" customHeight="1">
      <c r="A117" s="446" t="s">
        <v>156</v>
      </c>
      <c r="B117" s="446"/>
      <c r="C117" s="446"/>
      <c r="D117" s="446"/>
      <c r="E117" s="446"/>
      <c r="F117" s="446"/>
      <c r="G117" s="446"/>
      <c r="H117" s="446"/>
      <c r="I117" s="446"/>
      <c r="J117" s="84"/>
      <c r="K117" s="447" t="s">
        <v>157</v>
      </c>
      <c r="L117" s="447"/>
      <c r="M117" s="447"/>
    </row>
    <row r="118" spans="1:13" ht="43.5" customHeight="1">
      <c r="A118" s="443" t="s">
        <v>158</v>
      </c>
      <c r="B118" s="444"/>
      <c r="C118" s="444"/>
      <c r="D118" s="444"/>
      <c r="E118" s="444"/>
      <c r="F118" s="444"/>
      <c r="G118" s="444"/>
      <c r="H118" s="444"/>
      <c r="I118" s="444"/>
      <c r="J118" s="444"/>
      <c r="K118" s="444"/>
      <c r="L118" s="444"/>
      <c r="M118" s="445"/>
    </row>
    <row r="119" spans="1:13" ht="102" customHeight="1">
      <c r="A119" s="446" t="s">
        <v>159</v>
      </c>
      <c r="B119" s="446"/>
      <c r="C119" s="446"/>
      <c r="D119" s="446"/>
      <c r="E119" s="446"/>
      <c r="F119" s="446"/>
      <c r="G119" s="446"/>
      <c r="H119" s="446"/>
      <c r="I119" s="446"/>
      <c r="J119" s="84"/>
      <c r="K119" s="447" t="s">
        <v>160</v>
      </c>
      <c r="L119" s="447"/>
      <c r="M119" s="447"/>
    </row>
    <row r="120" spans="1:13" ht="33" customHeight="1">
      <c r="A120" s="443" t="s">
        <v>161</v>
      </c>
      <c r="B120" s="444"/>
      <c r="C120" s="444"/>
      <c r="D120" s="444"/>
      <c r="E120" s="444"/>
      <c r="F120" s="444"/>
      <c r="G120" s="444"/>
      <c r="H120" s="444"/>
      <c r="I120" s="444"/>
      <c r="J120" s="444"/>
      <c r="K120" s="444"/>
      <c r="L120" s="444"/>
      <c r="M120" s="445"/>
    </row>
    <row r="121" spans="1:13" ht="102.75" customHeight="1">
      <c r="A121" s="446" t="s">
        <v>162</v>
      </c>
      <c r="B121" s="446"/>
      <c r="C121" s="446"/>
      <c r="D121" s="446"/>
      <c r="E121" s="446"/>
      <c r="F121" s="446"/>
      <c r="G121" s="446"/>
      <c r="H121" s="446"/>
      <c r="I121" s="446"/>
      <c r="J121" s="84"/>
      <c r="K121" s="447" t="s">
        <v>163</v>
      </c>
      <c r="L121" s="459"/>
      <c r="M121" s="459"/>
    </row>
    <row r="122" spans="1:13" ht="54" customHeight="1">
      <c r="A122" s="443" t="s">
        <v>164</v>
      </c>
      <c r="B122" s="444"/>
      <c r="C122" s="444"/>
      <c r="D122" s="444"/>
      <c r="E122" s="444"/>
      <c r="F122" s="444"/>
      <c r="G122" s="444"/>
      <c r="H122" s="444"/>
      <c r="I122" s="444"/>
      <c r="J122" s="444"/>
      <c r="K122" s="444"/>
      <c r="L122" s="444"/>
      <c r="M122" s="445"/>
    </row>
    <row r="123" spans="1:13" ht="140.25" customHeight="1">
      <c r="A123" s="446" t="s">
        <v>165</v>
      </c>
      <c r="B123" s="446"/>
      <c r="C123" s="446"/>
      <c r="D123" s="446"/>
      <c r="E123" s="446"/>
      <c r="F123" s="446"/>
      <c r="G123" s="446"/>
      <c r="H123" s="446"/>
      <c r="I123" s="446"/>
      <c r="J123" s="84"/>
      <c r="K123" s="447" t="s">
        <v>166</v>
      </c>
      <c r="L123" s="459"/>
      <c r="M123" s="459"/>
    </row>
    <row r="124" spans="1:13" ht="33" customHeight="1">
      <c r="A124" s="443" t="s">
        <v>167</v>
      </c>
      <c r="B124" s="444"/>
      <c r="C124" s="444"/>
      <c r="D124" s="444"/>
      <c r="E124" s="444"/>
      <c r="F124" s="444"/>
      <c r="G124" s="444"/>
      <c r="H124" s="444"/>
      <c r="I124" s="444"/>
      <c r="J124" s="444"/>
      <c r="K124" s="444"/>
      <c r="L124" s="444"/>
      <c r="M124" s="445"/>
    </row>
    <row r="125" spans="1:13" ht="153" customHeight="1">
      <c r="A125" s="446" t="s">
        <v>168</v>
      </c>
      <c r="B125" s="446"/>
      <c r="C125" s="446"/>
      <c r="D125" s="446"/>
      <c r="E125" s="446"/>
      <c r="F125" s="446"/>
      <c r="G125" s="446"/>
      <c r="H125" s="446"/>
      <c r="I125" s="446"/>
      <c r="J125" s="84"/>
      <c r="K125" s="447" t="s">
        <v>169</v>
      </c>
      <c r="L125" s="459"/>
      <c r="M125" s="459"/>
    </row>
    <row r="126" spans="1:13" ht="177" customHeight="1">
      <c r="A126" s="456" t="s">
        <v>170</v>
      </c>
      <c r="B126" s="457"/>
      <c r="C126" s="457"/>
      <c r="D126" s="457"/>
      <c r="E126" s="457"/>
      <c r="F126" s="457"/>
      <c r="G126" s="457"/>
      <c r="H126" s="457"/>
      <c r="I126" s="457"/>
      <c r="J126" s="457"/>
      <c r="K126" s="457"/>
      <c r="L126" s="457"/>
      <c r="M126" s="458"/>
    </row>
    <row r="127" spans="1:13" ht="33" customHeight="1">
      <c r="A127" s="449" t="s">
        <v>171</v>
      </c>
      <c r="B127" s="453" t="s">
        <v>172</v>
      </c>
      <c r="C127" s="454"/>
      <c r="D127" s="454"/>
      <c r="E127" s="454"/>
      <c r="F127" s="454"/>
      <c r="G127" s="454"/>
      <c r="H127" s="454"/>
      <c r="I127" s="454"/>
      <c r="J127" s="454"/>
      <c r="K127" s="454"/>
      <c r="L127" s="454"/>
      <c r="M127" s="455"/>
    </row>
    <row r="128" spans="1:13" ht="33" customHeight="1">
      <c r="A128" s="449"/>
      <c r="B128" s="448" t="s">
        <v>173</v>
      </c>
      <c r="C128" s="448"/>
      <c r="D128" s="448"/>
      <c r="E128" s="448"/>
      <c r="F128" s="449" t="s">
        <v>174</v>
      </c>
      <c r="G128" s="449"/>
      <c r="H128" s="449"/>
      <c r="I128" s="449"/>
      <c r="J128" s="450" t="s">
        <v>175</v>
      </c>
      <c r="K128" s="451"/>
      <c r="L128" s="451"/>
      <c r="M128" s="452"/>
    </row>
    <row r="129" spans="1:13" ht="33" customHeight="1">
      <c r="A129" s="521" t="s">
        <v>176</v>
      </c>
      <c r="B129" s="460" t="s">
        <v>177</v>
      </c>
      <c r="C129" s="460"/>
      <c r="D129" s="460"/>
      <c r="E129" s="460"/>
      <c r="F129" s="460" t="s">
        <v>178</v>
      </c>
      <c r="G129" s="461"/>
      <c r="H129" s="461"/>
      <c r="I129" s="461"/>
      <c r="J129" s="462" t="s">
        <v>179</v>
      </c>
      <c r="K129" s="463"/>
      <c r="L129" s="463"/>
      <c r="M129" s="464"/>
    </row>
    <row r="130" spans="1:13" ht="33" customHeight="1">
      <c r="A130" s="521"/>
      <c r="B130" s="460"/>
      <c r="C130" s="460"/>
      <c r="D130" s="460"/>
      <c r="E130" s="460"/>
      <c r="F130" s="461"/>
      <c r="G130" s="461"/>
      <c r="H130" s="461"/>
      <c r="I130" s="461"/>
      <c r="J130" s="465"/>
      <c r="K130" s="466"/>
      <c r="L130" s="466"/>
      <c r="M130" s="467"/>
    </row>
    <row r="131" spans="1:13" ht="33" customHeight="1">
      <c r="A131" s="521"/>
      <c r="B131" s="460"/>
      <c r="C131" s="460"/>
      <c r="D131" s="460"/>
      <c r="E131" s="460"/>
      <c r="F131" s="461"/>
      <c r="G131" s="461"/>
      <c r="H131" s="461"/>
      <c r="I131" s="461"/>
      <c r="J131" s="468"/>
      <c r="K131" s="469"/>
      <c r="L131" s="469"/>
      <c r="M131" s="470"/>
    </row>
    <row r="132" spans="1:13" ht="48" customHeight="1">
      <c r="A132" s="141" t="s">
        <v>171</v>
      </c>
      <c r="B132" s="453" t="s">
        <v>180</v>
      </c>
      <c r="C132" s="454"/>
      <c r="D132" s="454"/>
      <c r="E132" s="455"/>
      <c r="F132" s="449" t="s">
        <v>181</v>
      </c>
      <c r="G132" s="449"/>
      <c r="H132" s="449"/>
      <c r="I132" s="449"/>
      <c r="J132" s="450" t="s">
        <v>182</v>
      </c>
      <c r="K132" s="451"/>
      <c r="L132" s="451"/>
      <c r="M132" s="452"/>
    </row>
    <row r="133" spans="1:13" ht="33" customHeight="1">
      <c r="A133" s="522" t="s">
        <v>183</v>
      </c>
      <c r="B133" s="462" t="s">
        <v>184</v>
      </c>
      <c r="C133" s="463"/>
      <c r="D133" s="463"/>
      <c r="E133" s="464"/>
      <c r="F133" s="460" t="s">
        <v>185</v>
      </c>
      <c r="G133" s="461"/>
      <c r="H133" s="461"/>
      <c r="I133" s="461"/>
      <c r="J133" s="462" t="s">
        <v>186</v>
      </c>
      <c r="K133" s="463"/>
      <c r="L133" s="463"/>
      <c r="M133" s="464"/>
    </row>
    <row r="134" spans="1:13" ht="33" customHeight="1">
      <c r="A134" s="523"/>
      <c r="B134" s="465"/>
      <c r="C134" s="466"/>
      <c r="D134" s="466"/>
      <c r="E134" s="467"/>
      <c r="F134" s="461"/>
      <c r="G134" s="461"/>
      <c r="H134" s="461"/>
      <c r="I134" s="461"/>
      <c r="J134" s="465"/>
      <c r="K134" s="466"/>
      <c r="L134" s="466"/>
      <c r="M134" s="467"/>
    </row>
    <row r="135" spans="1:13" ht="33" customHeight="1">
      <c r="A135" s="524"/>
      <c r="B135" s="468"/>
      <c r="C135" s="469"/>
      <c r="D135" s="469"/>
      <c r="E135" s="470"/>
      <c r="F135" s="461"/>
      <c r="G135" s="461"/>
      <c r="H135" s="461"/>
      <c r="I135" s="461"/>
      <c r="J135" s="468"/>
      <c r="K135" s="469"/>
      <c r="L135" s="469"/>
      <c r="M135" s="470"/>
    </row>
    <row r="136" spans="1:13" ht="49.5" customHeight="1">
      <c r="A136" s="141" t="s">
        <v>171</v>
      </c>
      <c r="B136" s="453" t="s">
        <v>187</v>
      </c>
      <c r="C136" s="454"/>
      <c r="D136" s="454"/>
      <c r="E136" s="455"/>
      <c r="F136" s="449" t="s">
        <v>188</v>
      </c>
      <c r="G136" s="449"/>
      <c r="H136" s="449"/>
      <c r="I136" s="449"/>
      <c r="J136" s="450" t="s">
        <v>189</v>
      </c>
      <c r="K136" s="451"/>
      <c r="L136" s="451"/>
      <c r="M136" s="452"/>
    </row>
    <row r="137" spans="1:13" ht="33" customHeight="1">
      <c r="A137" s="477" t="s">
        <v>190</v>
      </c>
      <c r="B137" s="460" t="s">
        <v>191</v>
      </c>
      <c r="C137" s="460"/>
      <c r="D137" s="460"/>
      <c r="E137" s="460"/>
      <c r="F137" s="460" t="s">
        <v>192</v>
      </c>
      <c r="G137" s="461"/>
      <c r="H137" s="461"/>
      <c r="I137" s="461"/>
      <c r="J137" s="462" t="s">
        <v>193</v>
      </c>
      <c r="K137" s="463"/>
      <c r="L137" s="463"/>
      <c r="M137" s="464"/>
    </row>
    <row r="138" spans="1:13" ht="33" customHeight="1">
      <c r="A138" s="478"/>
      <c r="B138" s="460"/>
      <c r="C138" s="460"/>
      <c r="D138" s="460"/>
      <c r="E138" s="460"/>
      <c r="F138" s="461"/>
      <c r="G138" s="461"/>
      <c r="H138" s="461"/>
      <c r="I138" s="461"/>
      <c r="J138" s="465"/>
      <c r="K138" s="466"/>
      <c r="L138" s="466"/>
      <c r="M138" s="467"/>
    </row>
    <row r="139" spans="1:13" ht="33" customHeight="1">
      <c r="A139" s="479"/>
      <c r="B139" s="460"/>
      <c r="C139" s="460"/>
      <c r="D139" s="460"/>
      <c r="E139" s="460"/>
      <c r="F139" s="461"/>
      <c r="G139" s="461"/>
      <c r="H139" s="461"/>
      <c r="I139" s="461"/>
      <c r="J139" s="468"/>
      <c r="K139" s="469"/>
      <c r="L139" s="469"/>
      <c r="M139" s="470"/>
    </row>
    <row r="140" spans="1:13" ht="27" customHeight="1">
      <c r="A140" s="456" t="s">
        <v>194</v>
      </c>
      <c r="B140" s="457"/>
      <c r="C140" s="457"/>
      <c r="D140" s="457"/>
      <c r="E140" s="457"/>
      <c r="F140" s="457"/>
      <c r="G140" s="457"/>
      <c r="H140" s="457"/>
      <c r="I140" s="457"/>
      <c r="J140" s="457"/>
      <c r="K140" s="457"/>
      <c r="L140" s="457"/>
      <c r="M140" s="458"/>
    </row>
    <row r="141" spans="1:13" ht="33" customHeight="1">
      <c r="A141" s="142" t="s">
        <v>195</v>
      </c>
      <c r="B141" s="453" t="s">
        <v>196</v>
      </c>
      <c r="C141" s="454"/>
      <c r="D141" s="454"/>
      <c r="E141" s="455"/>
      <c r="F141" s="450" t="s">
        <v>197</v>
      </c>
      <c r="G141" s="451"/>
      <c r="H141" s="451"/>
      <c r="I141" s="452"/>
      <c r="J141" s="450" t="s">
        <v>198</v>
      </c>
      <c r="K141" s="451"/>
      <c r="L141" s="451"/>
      <c r="M141" s="452"/>
    </row>
    <row r="142" spans="1:13" ht="33" customHeight="1">
      <c r="A142" s="525" t="s">
        <v>199</v>
      </c>
      <c r="B142" s="460" t="s">
        <v>200</v>
      </c>
      <c r="C142" s="460"/>
      <c r="D142" s="460"/>
      <c r="E142" s="460"/>
      <c r="F142" s="460" t="s">
        <v>201</v>
      </c>
      <c r="G142" s="461"/>
      <c r="H142" s="461"/>
      <c r="I142" s="461"/>
      <c r="J142" s="462" t="s">
        <v>202</v>
      </c>
      <c r="K142" s="463"/>
      <c r="L142" s="463"/>
      <c r="M142" s="464"/>
    </row>
    <row r="143" spans="1:13" ht="33" customHeight="1">
      <c r="A143" s="525"/>
      <c r="B143" s="460"/>
      <c r="C143" s="460"/>
      <c r="D143" s="460"/>
      <c r="E143" s="460"/>
      <c r="F143" s="461"/>
      <c r="G143" s="461"/>
      <c r="H143" s="461"/>
      <c r="I143" s="461"/>
      <c r="J143" s="465"/>
      <c r="K143" s="466"/>
      <c r="L143" s="466"/>
      <c r="M143" s="467"/>
    </row>
    <row r="144" spans="1:13" ht="33" customHeight="1">
      <c r="A144" s="525"/>
      <c r="B144" s="460"/>
      <c r="C144" s="460"/>
      <c r="D144" s="460"/>
      <c r="E144" s="460"/>
      <c r="F144" s="461"/>
      <c r="G144" s="461"/>
      <c r="H144" s="461"/>
      <c r="I144" s="461"/>
      <c r="J144" s="468"/>
      <c r="K144" s="469"/>
      <c r="L144" s="469"/>
      <c r="M144" s="470"/>
    </row>
    <row r="145" spans="1:13" ht="36" customHeight="1">
      <c r="A145" s="142" t="s">
        <v>195</v>
      </c>
      <c r="B145" s="453" t="s">
        <v>196</v>
      </c>
      <c r="C145" s="454"/>
      <c r="D145" s="454"/>
      <c r="E145" s="455"/>
      <c r="F145" s="450" t="s">
        <v>197</v>
      </c>
      <c r="G145" s="451"/>
      <c r="H145" s="451"/>
      <c r="I145" s="452"/>
      <c r="J145" s="450" t="s">
        <v>198</v>
      </c>
      <c r="K145" s="451"/>
      <c r="L145" s="451"/>
      <c r="M145" s="452"/>
    </row>
    <row r="146" spans="1:13" ht="21" customHeight="1">
      <c r="A146" s="477" t="s">
        <v>203</v>
      </c>
      <c r="B146" s="462" t="s">
        <v>204</v>
      </c>
      <c r="C146" s="463"/>
      <c r="D146" s="463"/>
      <c r="E146" s="464"/>
      <c r="F146" s="460" t="s">
        <v>205</v>
      </c>
      <c r="G146" s="461"/>
      <c r="H146" s="461"/>
      <c r="I146" s="461"/>
      <c r="J146" s="462" t="s">
        <v>206</v>
      </c>
      <c r="K146" s="463"/>
      <c r="L146" s="463"/>
      <c r="M146" s="464"/>
    </row>
    <row r="147" spans="1:13" ht="33" customHeight="1">
      <c r="A147" s="478"/>
      <c r="B147" s="465"/>
      <c r="C147" s="466"/>
      <c r="D147" s="466"/>
      <c r="E147" s="467"/>
      <c r="F147" s="461"/>
      <c r="G147" s="461"/>
      <c r="H147" s="461"/>
      <c r="I147" s="461"/>
      <c r="J147" s="465"/>
      <c r="K147" s="466"/>
      <c r="L147" s="466"/>
      <c r="M147" s="467"/>
    </row>
    <row r="148" spans="1:13" ht="9" customHeight="1">
      <c r="A148" s="479"/>
      <c r="B148" s="468"/>
      <c r="C148" s="469"/>
      <c r="D148" s="469"/>
      <c r="E148" s="470"/>
      <c r="F148" s="461"/>
      <c r="G148" s="461"/>
      <c r="H148" s="461"/>
      <c r="I148" s="461"/>
      <c r="J148" s="468"/>
      <c r="K148" s="469"/>
      <c r="L148" s="469"/>
      <c r="M148" s="470"/>
    </row>
    <row r="149" spans="1:13" ht="33" customHeight="1">
      <c r="A149" s="142" t="s">
        <v>195</v>
      </c>
      <c r="B149" s="453" t="s">
        <v>196</v>
      </c>
      <c r="C149" s="454"/>
      <c r="D149" s="454"/>
      <c r="E149" s="455"/>
      <c r="F149" s="450" t="s">
        <v>197</v>
      </c>
      <c r="G149" s="451"/>
      <c r="H149" s="451"/>
      <c r="I149" s="452"/>
      <c r="J149" s="450" t="s">
        <v>198</v>
      </c>
      <c r="K149" s="451"/>
      <c r="L149" s="451"/>
      <c r="M149" s="452"/>
    </row>
    <row r="150" spans="1:13" ht="9" customHeight="1">
      <c r="A150" s="477" t="s">
        <v>207</v>
      </c>
      <c r="B150" s="460" t="s">
        <v>208</v>
      </c>
      <c r="C150" s="460"/>
      <c r="D150" s="460"/>
      <c r="E150" s="460"/>
      <c r="F150" s="460" t="s">
        <v>209</v>
      </c>
      <c r="G150" s="461"/>
      <c r="H150" s="461"/>
      <c r="I150" s="461"/>
      <c r="J150" s="462" t="s">
        <v>210</v>
      </c>
      <c r="K150" s="463"/>
      <c r="L150" s="463"/>
      <c r="M150" s="464"/>
    </row>
    <row r="151" spans="1:13" ht="28.5" customHeight="1">
      <c r="A151" s="478"/>
      <c r="B151" s="460"/>
      <c r="C151" s="460"/>
      <c r="D151" s="460"/>
      <c r="E151" s="460"/>
      <c r="F151" s="461"/>
      <c r="G151" s="461"/>
      <c r="H151" s="461"/>
      <c r="I151" s="461"/>
      <c r="J151" s="465"/>
      <c r="K151" s="466"/>
      <c r="L151" s="466"/>
      <c r="M151" s="467"/>
    </row>
    <row r="152" spans="1:13" ht="19.5" customHeight="1">
      <c r="A152" s="479"/>
      <c r="B152" s="460"/>
      <c r="C152" s="460"/>
      <c r="D152" s="460"/>
      <c r="E152" s="460"/>
      <c r="F152" s="461"/>
      <c r="G152" s="461"/>
      <c r="H152" s="461"/>
      <c r="I152" s="461"/>
      <c r="J152" s="468"/>
      <c r="K152" s="469"/>
      <c r="L152" s="469"/>
      <c r="M152" s="470"/>
    </row>
    <row r="153" spans="1:13" ht="33" customHeight="1">
      <c r="A153" s="480" t="s">
        <v>211</v>
      </c>
      <c r="B153" s="481"/>
      <c r="C153" s="481"/>
      <c r="D153" s="481"/>
      <c r="E153" s="481"/>
      <c r="F153" s="481"/>
      <c r="G153" s="481"/>
      <c r="H153" s="481"/>
      <c r="I153" s="481"/>
      <c r="J153" s="481"/>
      <c r="K153" s="481"/>
      <c r="L153" s="481"/>
      <c r="M153" s="482"/>
    </row>
    <row r="154" spans="1:13" ht="23.25" customHeight="1">
      <c r="A154" s="483" t="s">
        <v>212</v>
      </c>
      <c r="B154" s="484"/>
      <c r="C154" s="484"/>
      <c r="D154" s="484"/>
      <c r="E154" s="484"/>
      <c r="F154" s="484"/>
      <c r="G154" s="484"/>
      <c r="H154" s="484"/>
      <c r="I154" s="484"/>
      <c r="J154" s="484"/>
      <c r="K154" s="484"/>
      <c r="L154" s="484"/>
      <c r="M154" s="485"/>
    </row>
    <row r="155" spans="1:13" ht="33" customHeight="1">
      <c r="A155" s="486" t="s">
        <v>213</v>
      </c>
      <c r="B155" s="487"/>
      <c r="C155" s="487"/>
      <c r="D155" s="487"/>
      <c r="E155" s="487"/>
      <c r="F155" s="487"/>
      <c r="G155" s="487"/>
      <c r="H155" s="487"/>
      <c r="I155" s="487"/>
      <c r="J155" s="487"/>
      <c r="K155" s="487"/>
      <c r="L155" s="487"/>
      <c r="M155" s="488"/>
    </row>
    <row r="156" spans="1:13" ht="39" customHeight="1">
      <c r="A156" s="282" t="s">
        <v>214</v>
      </c>
      <c r="B156" s="283"/>
      <c r="C156" s="283"/>
      <c r="D156" s="283"/>
      <c r="E156" s="283"/>
      <c r="F156" s="283"/>
      <c r="G156" s="283"/>
      <c r="H156" s="283"/>
      <c r="I156" s="283"/>
      <c r="J156" s="283"/>
      <c r="K156" s="283"/>
      <c r="L156" s="283"/>
      <c r="M156" s="284"/>
    </row>
    <row r="157" spans="1:13" ht="40.5" customHeight="1">
      <c r="A157" s="281" t="s">
        <v>215</v>
      </c>
      <c r="B157" s="281"/>
      <c r="C157" s="281"/>
      <c r="D157" s="281"/>
      <c r="E157" s="281"/>
      <c r="F157" s="281"/>
      <c r="G157" s="281"/>
      <c r="H157" s="281"/>
      <c r="I157" s="281"/>
      <c r="J157" s="281"/>
      <c r="K157" s="282" t="s">
        <v>865</v>
      </c>
      <c r="L157" s="283"/>
      <c r="M157" s="284"/>
    </row>
    <row r="158" spans="1:13" ht="33" customHeight="1">
      <c r="A158" s="285" t="s">
        <v>216</v>
      </c>
      <c r="B158" s="286"/>
      <c r="C158" s="286"/>
      <c r="D158" s="286"/>
      <c r="E158" s="286"/>
      <c r="F158" s="286"/>
      <c r="G158" s="286"/>
      <c r="H158" s="286"/>
      <c r="I158" s="286"/>
      <c r="J158" s="286"/>
      <c r="K158" s="286"/>
      <c r="L158" s="286"/>
      <c r="M158" s="287"/>
    </row>
    <row r="159" spans="1:13" ht="9.75" customHeight="1">
      <c r="A159" s="288" t="s">
        <v>217</v>
      </c>
      <c r="B159" s="288"/>
      <c r="C159" s="288"/>
      <c r="D159" s="288"/>
      <c r="E159" s="288" t="s">
        <v>218</v>
      </c>
      <c r="F159" s="288"/>
      <c r="G159" s="288"/>
      <c r="H159" s="288"/>
      <c r="I159" s="288"/>
      <c r="J159" s="289" t="s">
        <v>219</v>
      </c>
      <c r="K159" s="290"/>
      <c r="L159" s="290"/>
      <c r="M159" s="291"/>
    </row>
    <row r="160" spans="1:13" ht="33" customHeight="1">
      <c r="A160" s="263" t="s">
        <v>220</v>
      </c>
      <c r="B160" s="264" t="s">
        <v>172</v>
      </c>
      <c r="C160" s="264"/>
      <c r="D160" s="265"/>
      <c r="E160" s="471" t="s">
        <v>221</v>
      </c>
      <c r="F160" s="472"/>
      <c r="G160" s="472"/>
      <c r="H160" s="472"/>
      <c r="I160" s="473"/>
      <c r="J160" s="269" t="s">
        <v>222</v>
      </c>
      <c r="K160" s="270"/>
      <c r="L160" s="270"/>
      <c r="M160" s="271"/>
    </row>
    <row r="161" spans="1:13" ht="33" customHeight="1">
      <c r="A161" s="266"/>
      <c r="B161" s="267" t="s">
        <v>173</v>
      </c>
      <c r="C161" s="267"/>
      <c r="D161" s="268"/>
      <c r="E161" s="474"/>
      <c r="F161" s="475" t="s">
        <v>174</v>
      </c>
      <c r="G161" s="475"/>
      <c r="H161" s="475"/>
      <c r="I161" s="476"/>
      <c r="J161" s="275" t="s">
        <v>175</v>
      </c>
      <c r="K161" s="276"/>
      <c r="L161" s="276"/>
      <c r="M161" s="277"/>
    </row>
    <row r="162" spans="1:13" ht="33" customHeight="1">
      <c r="A162" s="263" t="s">
        <v>223</v>
      </c>
      <c r="B162" s="264"/>
      <c r="C162" s="264"/>
      <c r="D162" s="265"/>
      <c r="E162" s="269" t="s">
        <v>224</v>
      </c>
      <c r="F162" s="270"/>
      <c r="G162" s="270"/>
      <c r="H162" s="270"/>
      <c r="I162" s="271"/>
      <c r="J162" s="269" t="s">
        <v>225</v>
      </c>
      <c r="K162" s="270"/>
      <c r="L162" s="270"/>
      <c r="M162" s="271"/>
    </row>
    <row r="163" spans="1:13" ht="33" customHeight="1">
      <c r="A163" s="266"/>
      <c r="B163" s="267"/>
      <c r="C163" s="267"/>
      <c r="D163" s="268"/>
      <c r="E163" s="272"/>
      <c r="F163" s="273"/>
      <c r="G163" s="273"/>
      <c r="H163" s="273"/>
      <c r="I163" s="274"/>
      <c r="J163" s="275"/>
      <c r="K163" s="276"/>
      <c r="L163" s="276"/>
      <c r="M163" s="277"/>
    </row>
    <row r="164" spans="1:13" ht="48" customHeight="1">
      <c r="A164" s="263" t="s">
        <v>226</v>
      </c>
      <c r="B164" s="264"/>
      <c r="C164" s="264"/>
      <c r="D164" s="265"/>
      <c r="E164" s="269" t="s">
        <v>227</v>
      </c>
      <c r="F164" s="270"/>
      <c r="G164" s="270"/>
      <c r="H164" s="270"/>
      <c r="I164" s="271"/>
      <c r="J164" s="269" t="s">
        <v>228</v>
      </c>
      <c r="K164" s="270"/>
      <c r="L164" s="270"/>
      <c r="M164" s="271"/>
    </row>
    <row r="165" spans="1:13" ht="25.5" customHeight="1">
      <c r="A165" s="266"/>
      <c r="B165" s="267"/>
      <c r="C165" s="267"/>
      <c r="D165" s="268"/>
      <c r="E165" s="272"/>
      <c r="F165" s="273"/>
      <c r="G165" s="273"/>
      <c r="H165" s="273"/>
      <c r="I165" s="274"/>
      <c r="J165" s="275"/>
      <c r="K165" s="276"/>
      <c r="L165" s="276"/>
      <c r="M165" s="277"/>
    </row>
    <row r="166" spans="1:13" s="70" customFormat="1" ht="29.25" customHeight="1">
      <c r="A166" s="263" t="s">
        <v>229</v>
      </c>
      <c r="B166" s="264"/>
      <c r="C166" s="264"/>
      <c r="D166" s="265"/>
      <c r="E166" s="269" t="s">
        <v>230</v>
      </c>
      <c r="F166" s="270"/>
      <c r="G166" s="270"/>
      <c r="H166" s="270"/>
      <c r="I166" s="271"/>
      <c r="J166" s="269" t="s">
        <v>231</v>
      </c>
      <c r="K166" s="270"/>
      <c r="L166" s="270"/>
      <c r="M166" s="271"/>
    </row>
    <row r="167" spans="1:13" ht="27.75" customHeight="1">
      <c r="A167" s="266"/>
      <c r="B167" s="267"/>
      <c r="C167" s="267"/>
      <c r="D167" s="268"/>
      <c r="E167" s="272"/>
      <c r="F167" s="273"/>
      <c r="G167" s="273"/>
      <c r="H167" s="273"/>
      <c r="I167" s="274"/>
      <c r="J167" s="275"/>
      <c r="K167" s="276"/>
      <c r="L167" s="276"/>
      <c r="M167" s="277"/>
    </row>
    <row r="168" spans="1:13" ht="25.5" customHeight="1">
      <c r="A168" s="263" t="s">
        <v>232</v>
      </c>
      <c r="B168" s="264"/>
      <c r="C168" s="264"/>
      <c r="D168" s="265"/>
      <c r="E168" s="269" t="s">
        <v>233</v>
      </c>
      <c r="F168" s="270"/>
      <c r="G168" s="270"/>
      <c r="H168" s="270"/>
      <c r="I168" s="271"/>
      <c r="J168" s="269" t="s">
        <v>234</v>
      </c>
      <c r="K168" s="270"/>
      <c r="L168" s="270"/>
      <c r="M168" s="271"/>
    </row>
    <row r="169" spans="1:13" ht="27" customHeight="1">
      <c r="A169" s="266"/>
      <c r="B169" s="267"/>
      <c r="C169" s="267"/>
      <c r="D169" s="268"/>
      <c r="E169" s="272"/>
      <c r="F169" s="273"/>
      <c r="G169" s="273"/>
      <c r="H169" s="273"/>
      <c r="I169" s="274"/>
      <c r="J169" s="275"/>
      <c r="K169" s="276"/>
      <c r="L169" s="276"/>
      <c r="M169" s="277"/>
    </row>
    <row r="170" spans="1:13" ht="24.75" customHeight="1">
      <c r="A170" s="285" t="s">
        <v>235</v>
      </c>
      <c r="B170" s="286"/>
      <c r="C170" s="286"/>
      <c r="D170" s="286"/>
      <c r="E170" s="286"/>
      <c r="F170" s="286"/>
      <c r="G170" s="286"/>
      <c r="H170" s="286"/>
      <c r="I170" s="286"/>
      <c r="J170" s="286"/>
      <c r="K170" s="286"/>
      <c r="L170" s="286"/>
      <c r="M170" s="287"/>
    </row>
    <row r="171" spans="1:13" ht="28.5" customHeight="1">
      <c r="A171" s="263" t="s">
        <v>236</v>
      </c>
      <c r="B171" s="264"/>
      <c r="C171" s="264"/>
      <c r="D171" s="265"/>
      <c r="E171" s="269" t="s">
        <v>237</v>
      </c>
      <c r="F171" s="270"/>
      <c r="G171" s="270"/>
      <c r="H171" s="270"/>
      <c r="I171" s="271"/>
      <c r="J171" s="269" t="s">
        <v>238</v>
      </c>
      <c r="K171" s="270"/>
      <c r="L171" s="270"/>
      <c r="M171" s="271"/>
    </row>
    <row r="172" spans="1:13" ht="26.25" customHeight="1">
      <c r="A172" s="266"/>
      <c r="B172" s="267"/>
      <c r="C172" s="267"/>
      <c r="D172" s="268"/>
      <c r="E172" s="272"/>
      <c r="F172" s="273"/>
      <c r="G172" s="273"/>
      <c r="H172" s="273"/>
      <c r="I172" s="274"/>
      <c r="J172" s="275"/>
      <c r="K172" s="276"/>
      <c r="L172" s="276"/>
      <c r="M172" s="277"/>
    </row>
    <row r="173" spans="1:13" ht="30.75" customHeight="1">
      <c r="A173" s="263" t="s">
        <v>239</v>
      </c>
      <c r="B173" s="264"/>
      <c r="C173" s="264"/>
      <c r="D173" s="265"/>
      <c r="E173" s="269" t="s">
        <v>240</v>
      </c>
      <c r="F173" s="270"/>
      <c r="G173" s="270"/>
      <c r="H173" s="270"/>
      <c r="I173" s="271"/>
      <c r="J173" s="269" t="s">
        <v>241</v>
      </c>
      <c r="K173" s="270"/>
      <c r="L173" s="270"/>
      <c r="M173" s="271"/>
    </row>
    <row r="174" spans="1:13" ht="30.75" customHeight="1">
      <c r="A174" s="266"/>
      <c r="B174" s="267"/>
      <c r="C174" s="267"/>
      <c r="D174" s="268"/>
      <c r="E174" s="272"/>
      <c r="F174" s="273"/>
      <c r="G174" s="273"/>
      <c r="H174" s="273"/>
      <c r="I174" s="274"/>
      <c r="J174" s="275"/>
      <c r="K174" s="276"/>
      <c r="L174" s="276"/>
      <c r="M174" s="277"/>
    </row>
    <row r="175" spans="1:13" ht="30.75" customHeight="1">
      <c r="A175" s="263" t="s">
        <v>242</v>
      </c>
      <c r="B175" s="264"/>
      <c r="C175" s="264"/>
      <c r="D175" s="265"/>
      <c r="E175" s="269" t="s">
        <v>243</v>
      </c>
      <c r="F175" s="270"/>
      <c r="G175" s="270"/>
      <c r="H175" s="270"/>
      <c r="I175" s="271"/>
      <c r="J175" s="269" t="s">
        <v>244</v>
      </c>
      <c r="K175" s="270"/>
      <c r="L175" s="270"/>
      <c r="M175" s="271"/>
    </row>
    <row r="176" spans="1:13" s="70" customFormat="1" ht="30.75" customHeight="1">
      <c r="A176" s="266"/>
      <c r="B176" s="267"/>
      <c r="C176" s="267"/>
      <c r="D176" s="268"/>
      <c r="E176" s="272"/>
      <c r="F176" s="273"/>
      <c r="G176" s="273"/>
      <c r="H176" s="273"/>
      <c r="I176" s="274"/>
      <c r="J176" s="275"/>
      <c r="K176" s="276"/>
      <c r="L176" s="276"/>
      <c r="M176" s="277"/>
    </row>
    <row r="177" spans="1:13" ht="48.75" customHeight="1">
      <c r="A177" s="263" t="s">
        <v>245</v>
      </c>
      <c r="B177" s="264"/>
      <c r="C177" s="264"/>
      <c r="D177" s="265"/>
      <c r="E177" s="269" t="s">
        <v>246</v>
      </c>
      <c r="F177" s="270"/>
      <c r="G177" s="270"/>
      <c r="H177" s="270"/>
      <c r="I177" s="271"/>
      <c r="J177" s="489" t="s">
        <v>247</v>
      </c>
      <c r="K177" s="490"/>
      <c r="L177" s="490"/>
      <c r="M177" s="491"/>
    </row>
    <row r="178" spans="1:13" ht="18" customHeight="1">
      <c r="A178" s="285" t="s">
        <v>248</v>
      </c>
      <c r="B178" s="286"/>
      <c r="C178" s="286"/>
      <c r="D178" s="286"/>
      <c r="E178" s="286"/>
      <c r="F178" s="286"/>
      <c r="G178" s="286"/>
      <c r="H178" s="286"/>
      <c r="I178" s="286"/>
      <c r="J178" s="286"/>
      <c r="K178" s="286"/>
      <c r="L178" s="286"/>
      <c r="M178" s="287"/>
    </row>
    <row r="179" spans="1:13" ht="27.75" customHeight="1">
      <c r="A179" s="492" t="s">
        <v>249</v>
      </c>
      <c r="B179" s="493"/>
      <c r="C179" s="493"/>
      <c r="D179" s="494"/>
      <c r="E179" s="492" t="s">
        <v>250</v>
      </c>
      <c r="F179" s="493"/>
      <c r="G179" s="493"/>
      <c r="H179" s="493"/>
      <c r="I179" s="494"/>
      <c r="J179" s="483" t="s">
        <v>251</v>
      </c>
      <c r="K179" s="484"/>
      <c r="L179" s="484"/>
      <c r="M179" s="485"/>
    </row>
    <row r="180" spans="1:13" ht="28.5" customHeight="1">
      <c r="A180" s="263" t="s">
        <v>252</v>
      </c>
      <c r="B180" s="264"/>
      <c r="C180" s="264"/>
      <c r="D180" s="265"/>
      <c r="E180" s="263" t="s">
        <v>253</v>
      </c>
      <c r="F180" s="264"/>
      <c r="G180" s="264"/>
      <c r="H180" s="264"/>
      <c r="I180" s="265"/>
      <c r="J180" s="278"/>
      <c r="K180" s="279"/>
      <c r="L180" s="279"/>
      <c r="M180" s="280"/>
    </row>
    <row r="181" spans="1:13" ht="27.75" customHeight="1">
      <c r="A181" s="263" t="s">
        <v>254</v>
      </c>
      <c r="B181" s="264"/>
      <c r="C181" s="264"/>
      <c r="D181" s="265"/>
      <c r="E181" s="263" t="s">
        <v>255</v>
      </c>
      <c r="F181" s="264"/>
      <c r="G181" s="264"/>
      <c r="H181" s="264"/>
      <c r="I181" s="265"/>
      <c r="J181" s="278"/>
      <c r="K181" s="279"/>
      <c r="L181" s="279"/>
      <c r="M181" s="280"/>
    </row>
    <row r="182" spans="1:13" ht="27.75" customHeight="1">
      <c r="A182" s="263" t="s">
        <v>256</v>
      </c>
      <c r="B182" s="264"/>
      <c r="C182" s="264"/>
      <c r="D182" s="265"/>
      <c r="E182" s="263" t="s">
        <v>257</v>
      </c>
      <c r="F182" s="264"/>
      <c r="G182" s="264"/>
      <c r="H182" s="264"/>
      <c r="I182" s="265"/>
      <c r="J182" s="278"/>
      <c r="K182" s="279"/>
      <c r="L182" s="279"/>
      <c r="M182" s="280"/>
    </row>
    <row r="183" spans="1:13" ht="13.5" customHeight="1">
      <c r="A183" s="263" t="s">
        <v>258</v>
      </c>
      <c r="B183" s="264"/>
      <c r="C183" s="264"/>
      <c r="D183" s="265"/>
      <c r="E183" s="263" t="s">
        <v>259</v>
      </c>
      <c r="F183" s="264"/>
      <c r="G183" s="264"/>
      <c r="H183" s="264"/>
      <c r="I183" s="265"/>
      <c r="J183" s="278"/>
      <c r="K183" s="279"/>
      <c r="L183" s="279"/>
      <c r="M183" s="280"/>
    </row>
    <row r="184" spans="1:13" ht="15.75" customHeight="1">
      <c r="A184" s="263" t="s">
        <v>260</v>
      </c>
      <c r="B184" s="264"/>
      <c r="C184" s="264"/>
      <c r="D184" s="265"/>
      <c r="E184" s="263" t="s">
        <v>261</v>
      </c>
      <c r="F184" s="264"/>
      <c r="G184" s="264"/>
      <c r="H184" s="264"/>
      <c r="I184" s="265"/>
      <c r="J184" s="278"/>
      <c r="K184" s="279"/>
      <c r="L184" s="279"/>
      <c r="M184" s="280"/>
    </row>
    <row r="185" spans="1:13" ht="15.75" customHeight="1">
      <c r="A185" s="285" t="s">
        <v>262</v>
      </c>
      <c r="B185" s="286"/>
      <c r="C185" s="286"/>
      <c r="D185" s="286"/>
      <c r="E185" s="286"/>
      <c r="F185" s="286"/>
      <c r="G185" s="286"/>
      <c r="H185" s="286"/>
      <c r="I185" s="286"/>
      <c r="J185" s="286"/>
      <c r="K185" s="286"/>
      <c r="L185" s="286"/>
      <c r="M185" s="287"/>
    </row>
    <row r="186" spans="1:13" ht="27.75" customHeight="1">
      <c r="A186" s="483" t="s">
        <v>250</v>
      </c>
      <c r="B186" s="484"/>
      <c r="C186" s="484"/>
      <c r="D186" s="484"/>
      <c r="E186" s="484"/>
      <c r="F186" s="485"/>
      <c r="G186" s="483" t="s">
        <v>263</v>
      </c>
      <c r="H186" s="484"/>
      <c r="I186" s="484"/>
      <c r="J186" s="484"/>
      <c r="K186" s="484"/>
      <c r="L186" s="484"/>
      <c r="M186" s="485"/>
    </row>
    <row r="187" spans="1:13" ht="26.25" customHeight="1">
      <c r="A187" s="278" t="s">
        <v>264</v>
      </c>
      <c r="B187" s="279"/>
      <c r="C187" s="279"/>
      <c r="D187" s="279"/>
      <c r="E187" s="279"/>
      <c r="F187" s="280"/>
      <c r="G187" s="278"/>
      <c r="H187" s="279"/>
      <c r="I187" s="279"/>
      <c r="J187" s="279"/>
      <c r="K187" s="279"/>
      <c r="L187" s="279"/>
      <c r="M187" s="280"/>
    </row>
    <row r="188" spans="1:13" ht="30.75" customHeight="1">
      <c r="A188" s="278" t="s">
        <v>265</v>
      </c>
      <c r="B188" s="279"/>
      <c r="C188" s="279"/>
      <c r="D188" s="279"/>
      <c r="E188" s="279"/>
      <c r="F188" s="280"/>
      <c r="G188" s="278"/>
      <c r="H188" s="279"/>
      <c r="I188" s="279"/>
      <c r="J188" s="279"/>
      <c r="K188" s="279"/>
      <c r="L188" s="279"/>
      <c r="M188" s="280"/>
    </row>
    <row r="189" spans="1:13">
      <c r="A189" s="483" t="s">
        <v>266</v>
      </c>
      <c r="B189" s="484"/>
      <c r="C189" s="484"/>
      <c r="D189" s="484"/>
      <c r="E189" s="484"/>
      <c r="F189" s="485"/>
      <c r="G189" s="483" t="s">
        <v>267</v>
      </c>
      <c r="H189" s="484"/>
      <c r="I189" s="484"/>
      <c r="J189" s="484"/>
      <c r="K189" s="484"/>
      <c r="L189" s="484"/>
      <c r="M189" s="485"/>
    </row>
    <row r="190" spans="1:13" ht="15.75" customHeight="1">
      <c r="A190" s="356" t="s">
        <v>858</v>
      </c>
      <c r="B190" s="357"/>
      <c r="C190" s="357"/>
      <c r="D190" s="357"/>
      <c r="E190" s="357"/>
      <c r="F190" s="357"/>
      <c r="G190" s="357"/>
      <c r="H190" s="357"/>
      <c r="I190" s="357"/>
      <c r="J190" s="357"/>
      <c r="K190" s="357"/>
      <c r="L190" s="357"/>
      <c r="M190" s="358"/>
    </row>
    <row r="191" spans="1:13" ht="18.75" customHeight="1">
      <c r="A191" s="391" t="s">
        <v>268</v>
      </c>
      <c r="B191" s="392"/>
      <c r="C191" s="392"/>
      <c r="D191" s="392"/>
      <c r="E191" s="392"/>
      <c r="F191" s="392"/>
      <c r="G191" s="392"/>
      <c r="H191" s="392"/>
      <c r="I191" s="392"/>
      <c r="J191" s="392"/>
      <c r="K191" s="393"/>
      <c r="L191" s="495"/>
      <c r="M191" s="496"/>
    </row>
    <row r="192" spans="1:13" ht="27" customHeight="1">
      <c r="A192" s="497" t="s">
        <v>859</v>
      </c>
      <c r="B192" s="498"/>
      <c r="C192" s="498"/>
      <c r="D192" s="498"/>
      <c r="E192" s="498"/>
      <c r="F192" s="498"/>
      <c r="G192" s="498"/>
      <c r="H192" s="498"/>
      <c r="I192" s="498"/>
      <c r="J192" s="498"/>
      <c r="K192" s="498"/>
      <c r="L192" s="498"/>
      <c r="M192" s="499"/>
    </row>
    <row r="193" spans="1:13" ht="30" customHeight="1">
      <c r="A193" s="356" t="s">
        <v>860</v>
      </c>
      <c r="B193" s="357"/>
      <c r="C193" s="357"/>
      <c r="D193" s="357"/>
      <c r="E193" s="357"/>
      <c r="F193" s="357"/>
      <c r="G193" s="357"/>
      <c r="H193" s="357"/>
      <c r="I193" s="357"/>
      <c r="J193" s="357"/>
      <c r="K193" s="357"/>
      <c r="L193" s="357"/>
      <c r="M193" s="358"/>
    </row>
    <row r="194" spans="1:13" ht="33.75" customHeight="1">
      <c r="A194" s="391" t="s">
        <v>269</v>
      </c>
      <c r="B194" s="392"/>
      <c r="C194" s="392"/>
      <c r="D194" s="392"/>
      <c r="E194" s="392"/>
      <c r="F194" s="392"/>
      <c r="G194" s="392"/>
      <c r="H194" s="392"/>
      <c r="I194" s="392"/>
      <c r="J194" s="392"/>
      <c r="K194" s="392"/>
      <c r="L194" s="393"/>
      <c r="M194" s="143"/>
    </row>
    <row r="195" spans="1:13" ht="33.75" customHeight="1">
      <c r="A195" s="391" t="s">
        <v>270</v>
      </c>
      <c r="B195" s="392"/>
      <c r="C195" s="392"/>
      <c r="D195" s="392"/>
      <c r="E195" s="392"/>
      <c r="F195" s="392"/>
      <c r="G195" s="392"/>
      <c r="H195" s="392"/>
      <c r="I195" s="392"/>
      <c r="J195" s="392"/>
      <c r="K195" s="392"/>
      <c r="L195" s="393"/>
      <c r="M195" s="143"/>
    </row>
    <row r="196" spans="1:13" ht="47.25" customHeight="1">
      <c r="A196" s="500" t="s">
        <v>271</v>
      </c>
      <c r="B196" s="501"/>
      <c r="C196" s="501"/>
      <c r="D196" s="501"/>
      <c r="E196" s="501"/>
      <c r="F196" s="501"/>
      <c r="G196" s="501"/>
      <c r="H196" s="501"/>
      <c r="I196" s="501"/>
      <c r="J196" s="501"/>
      <c r="K196" s="501"/>
      <c r="L196" s="502"/>
      <c r="M196" s="143"/>
    </row>
    <row r="197" spans="1:13" ht="33.75" customHeight="1">
      <c r="A197" s="503" t="s">
        <v>861</v>
      </c>
      <c r="B197" s="504"/>
      <c r="C197" s="504"/>
      <c r="D197" s="504"/>
      <c r="E197" s="504"/>
      <c r="F197" s="504"/>
      <c r="G197" s="504"/>
      <c r="H197" s="504"/>
      <c r="I197" s="504"/>
      <c r="J197" s="504"/>
      <c r="K197" s="504"/>
      <c r="L197" s="504"/>
      <c r="M197" s="505"/>
    </row>
    <row r="198" spans="1:13" ht="33.75" customHeight="1">
      <c r="A198" s="391" t="s">
        <v>272</v>
      </c>
      <c r="B198" s="392"/>
      <c r="C198" s="392"/>
      <c r="D198" s="392"/>
      <c r="E198" s="392"/>
      <c r="F198" s="392"/>
      <c r="G198" s="392"/>
      <c r="H198" s="392"/>
      <c r="I198" s="392"/>
      <c r="J198" s="392"/>
      <c r="K198" s="393"/>
      <c r="L198" s="506"/>
      <c r="M198" s="507"/>
    </row>
    <row r="199" spans="1:13" ht="33.75" customHeight="1">
      <c r="A199" s="391" t="s">
        <v>273</v>
      </c>
      <c r="B199" s="392"/>
      <c r="C199" s="392"/>
      <c r="D199" s="392"/>
      <c r="E199" s="392"/>
      <c r="F199" s="392"/>
      <c r="G199" s="392"/>
      <c r="H199" s="392"/>
      <c r="I199" s="392"/>
      <c r="J199" s="392"/>
      <c r="K199" s="393"/>
      <c r="L199" s="506"/>
      <c r="M199" s="507"/>
    </row>
    <row r="200" spans="1:13" ht="33.75" customHeight="1">
      <c r="A200" s="391" t="s">
        <v>274</v>
      </c>
      <c r="B200" s="392"/>
      <c r="C200" s="392"/>
      <c r="D200" s="392"/>
      <c r="E200" s="392"/>
      <c r="F200" s="392"/>
      <c r="G200" s="392"/>
      <c r="H200" s="392"/>
      <c r="I200" s="392"/>
      <c r="J200" s="392"/>
      <c r="K200" s="393"/>
      <c r="L200" s="506"/>
      <c r="M200" s="507"/>
    </row>
    <row r="201" spans="1:13" ht="33.75" customHeight="1">
      <c r="A201" s="391" t="s">
        <v>275</v>
      </c>
      <c r="B201" s="392"/>
      <c r="C201" s="392"/>
      <c r="D201" s="392"/>
      <c r="E201" s="392"/>
      <c r="F201" s="392"/>
      <c r="G201" s="392"/>
      <c r="H201" s="392"/>
      <c r="I201" s="392"/>
      <c r="J201" s="392"/>
      <c r="K201" s="393"/>
      <c r="L201" s="506"/>
      <c r="M201" s="507"/>
    </row>
    <row r="202" spans="1:13" ht="15.75" customHeight="1">
      <c r="A202" s="391" t="s">
        <v>276</v>
      </c>
      <c r="B202" s="392"/>
      <c r="C202" s="392"/>
      <c r="D202" s="392"/>
      <c r="E202" s="392"/>
      <c r="F202" s="392"/>
      <c r="G202" s="392"/>
      <c r="H202" s="392"/>
      <c r="I202" s="392"/>
      <c r="J202" s="392"/>
      <c r="K202" s="393"/>
      <c r="L202" s="506">
        <f>L198+L199+L200</f>
        <v>0</v>
      </c>
      <c r="M202" s="507"/>
    </row>
    <row r="203" spans="1:13" ht="23.25" customHeight="1">
      <c r="A203" s="391" t="s">
        <v>277</v>
      </c>
      <c r="B203" s="392"/>
      <c r="C203" s="392"/>
      <c r="D203" s="392"/>
      <c r="E203" s="392"/>
      <c r="F203" s="392"/>
      <c r="G203" s="392"/>
      <c r="H203" s="392"/>
      <c r="I203" s="392"/>
      <c r="J203" s="392"/>
      <c r="K203" s="392"/>
      <c r="L203" s="393"/>
      <c r="M203" s="144"/>
    </row>
    <row r="204" spans="1:13" ht="28.5" customHeight="1">
      <c r="A204" s="391" t="s">
        <v>278</v>
      </c>
      <c r="B204" s="392"/>
      <c r="C204" s="392"/>
      <c r="D204" s="392"/>
      <c r="E204" s="392"/>
      <c r="F204" s="392"/>
      <c r="G204" s="392"/>
      <c r="H204" s="392"/>
      <c r="I204" s="392"/>
      <c r="J204" s="392"/>
      <c r="K204" s="392"/>
      <c r="L204" s="393"/>
      <c r="M204" s="144"/>
    </row>
    <row r="205" spans="1:13" ht="26.25" customHeight="1">
      <c r="A205" s="391" t="s">
        <v>279</v>
      </c>
      <c r="B205" s="392"/>
      <c r="C205" s="392"/>
      <c r="D205" s="392"/>
      <c r="E205" s="392"/>
      <c r="F205" s="392"/>
      <c r="G205" s="392"/>
      <c r="H205" s="392"/>
      <c r="I205" s="392"/>
      <c r="J205" s="392"/>
      <c r="K205" s="392"/>
      <c r="L205" s="393"/>
      <c r="M205" s="144"/>
    </row>
    <row r="206" spans="1:13" ht="15.75" customHeight="1">
      <c r="A206" s="414" t="s">
        <v>862</v>
      </c>
      <c r="B206" s="508"/>
      <c r="C206" s="508"/>
      <c r="D206" s="508"/>
      <c r="E206" s="508"/>
      <c r="F206" s="508"/>
      <c r="G206" s="508"/>
      <c r="H206" s="508"/>
      <c r="I206" s="508"/>
      <c r="J206" s="508"/>
      <c r="K206" s="508"/>
      <c r="L206" s="508"/>
      <c r="M206" s="509"/>
    </row>
    <row r="207" spans="1:13" ht="15.75" customHeight="1">
      <c r="A207" s="145" t="s">
        <v>75</v>
      </c>
      <c r="B207" s="233" t="s">
        <v>76</v>
      </c>
      <c r="C207" s="235"/>
      <c r="D207" s="261"/>
      <c r="E207" s="262"/>
      <c r="F207" s="146"/>
      <c r="G207" s="261"/>
      <c r="H207" s="262"/>
      <c r="I207" s="145" t="s">
        <v>77</v>
      </c>
      <c r="J207" s="148">
        <v>0</v>
      </c>
      <c r="K207" s="233" t="s">
        <v>78</v>
      </c>
      <c r="L207" s="235"/>
      <c r="M207" s="148">
        <v>0</v>
      </c>
    </row>
    <row r="208" spans="1:13" ht="37.5" customHeight="1">
      <c r="A208" s="146" t="s">
        <v>79</v>
      </c>
      <c r="B208" s="233" t="s">
        <v>80</v>
      </c>
      <c r="C208" s="234"/>
      <c r="D208" s="234"/>
      <c r="E208" s="235"/>
      <c r="F208" s="146" t="s">
        <v>81</v>
      </c>
      <c r="G208" s="261" t="s">
        <v>82</v>
      </c>
      <c r="H208" s="262"/>
      <c r="I208" s="233" t="s">
        <v>83</v>
      </c>
      <c r="J208" s="235"/>
      <c r="K208" s="233" t="s">
        <v>84</v>
      </c>
      <c r="L208" s="235"/>
      <c r="M208" s="147"/>
    </row>
    <row r="209" spans="1:13" ht="15.75" customHeight="1">
      <c r="A209" s="146" t="s">
        <v>280</v>
      </c>
      <c r="B209" s="233"/>
      <c r="C209" s="234"/>
      <c r="D209" s="234"/>
      <c r="E209" s="235"/>
      <c r="F209" s="146"/>
      <c r="G209" s="261"/>
      <c r="H209" s="262"/>
      <c r="I209" s="233"/>
      <c r="J209" s="235"/>
      <c r="K209" s="233"/>
      <c r="L209" s="235"/>
      <c r="M209" s="147"/>
    </row>
    <row r="210" spans="1:13" ht="15.75" customHeight="1">
      <c r="A210" s="146" t="s">
        <v>86</v>
      </c>
      <c r="B210" s="233"/>
      <c r="C210" s="234"/>
      <c r="D210" s="234"/>
      <c r="E210" s="235"/>
      <c r="F210" s="146"/>
      <c r="G210" s="261"/>
      <c r="H210" s="262"/>
      <c r="I210" s="233"/>
      <c r="J210" s="235"/>
      <c r="K210" s="233"/>
      <c r="L210" s="235"/>
      <c r="M210" s="147"/>
    </row>
    <row r="211" spans="1:13" ht="27" customHeight="1">
      <c r="A211" s="146" t="s">
        <v>87</v>
      </c>
      <c r="B211" s="233"/>
      <c r="C211" s="234"/>
      <c r="D211" s="234"/>
      <c r="E211" s="235"/>
      <c r="F211" s="146"/>
      <c r="G211" s="261"/>
      <c r="H211" s="262"/>
      <c r="I211" s="233"/>
      <c r="J211" s="235"/>
      <c r="K211" s="233"/>
      <c r="L211" s="235"/>
      <c r="M211" s="147"/>
    </row>
    <row r="212" spans="1:13" ht="27" customHeight="1">
      <c r="A212" s="146" t="s">
        <v>88</v>
      </c>
      <c r="B212" s="233"/>
      <c r="C212" s="234"/>
      <c r="D212" s="234"/>
      <c r="E212" s="235"/>
      <c r="F212" s="146"/>
      <c r="G212" s="261"/>
      <c r="H212" s="262"/>
      <c r="I212" s="233"/>
      <c r="J212" s="235"/>
      <c r="K212" s="233"/>
      <c r="L212" s="235"/>
      <c r="M212" s="147"/>
    </row>
    <row r="213" spans="1:13" ht="15.75" customHeight="1">
      <c r="A213" s="146" t="s">
        <v>89</v>
      </c>
      <c r="B213" s="233"/>
      <c r="C213" s="234"/>
      <c r="D213" s="234"/>
      <c r="E213" s="235"/>
      <c r="F213" s="146"/>
      <c r="G213" s="261"/>
      <c r="H213" s="262"/>
      <c r="I213" s="233"/>
      <c r="J213" s="235"/>
      <c r="K213" s="233"/>
      <c r="L213" s="235"/>
      <c r="M213" s="147"/>
    </row>
    <row r="214" spans="1:13" ht="15.75" customHeight="1">
      <c r="A214" s="512" t="s">
        <v>281</v>
      </c>
      <c r="B214" s="513"/>
      <c r="C214" s="513"/>
      <c r="D214" s="513"/>
      <c r="E214" s="513"/>
      <c r="F214" s="513"/>
      <c r="G214" s="513"/>
      <c r="H214" s="513"/>
      <c r="I214" s="513"/>
      <c r="J214" s="513"/>
      <c r="K214" s="513"/>
      <c r="L214" s="513"/>
      <c r="M214" s="514"/>
    </row>
    <row r="215" spans="1:13" ht="15.75" customHeight="1">
      <c r="A215" s="253" t="s">
        <v>282</v>
      </c>
      <c r="B215" s="254"/>
      <c r="C215" s="254"/>
      <c r="D215" s="254"/>
      <c r="E215" s="254"/>
      <c r="F215" s="254"/>
      <c r="G215" s="510"/>
      <c r="H215" s="510"/>
      <c r="I215" s="510"/>
      <c r="J215" s="510"/>
      <c r="K215" s="510"/>
      <c r="L215" s="510"/>
      <c r="M215" s="511"/>
    </row>
    <row r="216" spans="1:13" ht="15.75" customHeight="1">
      <c r="A216" s="253" t="s">
        <v>283</v>
      </c>
      <c r="B216" s="254"/>
      <c r="C216" s="254"/>
      <c r="D216" s="254"/>
      <c r="E216" s="254"/>
      <c r="F216" s="254"/>
      <c r="G216" s="510"/>
      <c r="H216" s="510"/>
      <c r="I216" s="510"/>
      <c r="J216" s="510"/>
      <c r="K216" s="510"/>
      <c r="L216" s="510"/>
      <c r="M216" s="511"/>
    </row>
    <row r="217" spans="1:13" ht="20.25" customHeight="1">
      <c r="A217" s="253" t="s">
        <v>284</v>
      </c>
      <c r="B217" s="254"/>
      <c r="C217" s="254"/>
      <c r="D217" s="254"/>
      <c r="E217" s="254"/>
      <c r="F217" s="254"/>
      <c r="G217" s="510"/>
      <c r="H217" s="510"/>
      <c r="I217" s="510"/>
      <c r="J217" s="510"/>
      <c r="K217" s="510"/>
      <c r="L217" s="510"/>
      <c r="M217" s="511"/>
    </row>
    <row r="218" spans="1:13">
      <c r="A218" s="253" t="s">
        <v>285</v>
      </c>
      <c r="B218" s="254"/>
      <c r="C218" s="254"/>
      <c r="D218" s="254"/>
      <c r="E218" s="254"/>
      <c r="F218" s="254"/>
      <c r="G218" s="510"/>
      <c r="H218" s="510"/>
      <c r="I218" s="510"/>
      <c r="J218" s="510"/>
      <c r="K218" s="510"/>
      <c r="L218" s="510"/>
      <c r="M218" s="511"/>
    </row>
    <row r="219" spans="1:13" ht="24" customHeight="1">
      <c r="A219" s="253" t="s">
        <v>286</v>
      </c>
      <c r="B219" s="254"/>
      <c r="C219" s="254"/>
      <c r="D219" s="254"/>
      <c r="E219" s="254"/>
      <c r="F219" s="254"/>
      <c r="G219" s="510"/>
      <c r="H219" s="510"/>
      <c r="I219" s="510"/>
      <c r="J219" s="510"/>
      <c r="K219" s="510"/>
      <c r="L219" s="510"/>
      <c r="M219" s="511"/>
    </row>
    <row r="220" spans="1:13" ht="18" customHeight="1">
      <c r="A220" s="253" t="s">
        <v>287</v>
      </c>
      <c r="B220" s="254"/>
      <c r="C220" s="254"/>
      <c r="D220" s="254"/>
      <c r="E220" s="254"/>
      <c r="F220" s="254"/>
      <c r="G220" s="510"/>
      <c r="H220" s="510"/>
      <c r="I220" s="510"/>
      <c r="J220" s="510"/>
      <c r="K220" s="510"/>
      <c r="L220" s="510"/>
      <c r="M220" s="511"/>
    </row>
    <row r="221" spans="1:13" ht="19.5" customHeight="1">
      <c r="A221" s="253" t="s">
        <v>288</v>
      </c>
      <c r="B221" s="254"/>
      <c r="C221" s="254"/>
      <c r="D221" s="254"/>
      <c r="E221" s="254"/>
      <c r="F221" s="254"/>
      <c r="G221" s="510"/>
      <c r="H221" s="510"/>
      <c r="I221" s="510"/>
      <c r="J221" s="510"/>
      <c r="K221" s="510"/>
      <c r="L221" s="510"/>
      <c r="M221" s="511"/>
    </row>
    <row r="222" spans="1:13" ht="19.5" customHeight="1">
      <c r="A222" s="253" t="s">
        <v>289</v>
      </c>
      <c r="B222" s="254"/>
      <c r="C222" s="254"/>
      <c r="D222" s="254"/>
      <c r="E222" s="254"/>
      <c r="F222" s="254"/>
      <c r="G222" s="510"/>
      <c r="H222" s="510"/>
      <c r="I222" s="510"/>
      <c r="J222" s="510"/>
      <c r="K222" s="510"/>
      <c r="L222" s="510"/>
      <c r="M222" s="511"/>
    </row>
    <row r="223" spans="1:13" ht="19.5" customHeight="1">
      <c r="A223" s="253" t="s">
        <v>290</v>
      </c>
      <c r="B223" s="254"/>
      <c r="C223" s="254"/>
      <c r="D223" s="254"/>
      <c r="E223" s="254"/>
      <c r="F223" s="254"/>
      <c r="G223" s="510"/>
      <c r="H223" s="510"/>
      <c r="I223" s="510"/>
      <c r="J223" s="510"/>
      <c r="K223" s="510"/>
      <c r="L223" s="510"/>
      <c r="M223" s="511"/>
    </row>
    <row r="224" spans="1:13" ht="19.5" customHeight="1">
      <c r="A224" s="253" t="s">
        <v>291</v>
      </c>
      <c r="B224" s="254"/>
      <c r="C224" s="254"/>
      <c r="D224" s="254"/>
      <c r="E224" s="254"/>
      <c r="F224" s="254"/>
      <c r="G224" s="510"/>
      <c r="H224" s="510"/>
      <c r="I224" s="510"/>
      <c r="J224" s="510"/>
      <c r="K224" s="510"/>
      <c r="L224" s="510"/>
      <c r="M224" s="511"/>
    </row>
    <row r="225" spans="1:13" ht="32.25" customHeight="1">
      <c r="A225" s="253" t="s">
        <v>292</v>
      </c>
      <c r="B225" s="254"/>
      <c r="C225" s="254"/>
      <c r="D225" s="254"/>
      <c r="E225" s="254"/>
      <c r="F225" s="254"/>
      <c r="G225" s="510"/>
      <c r="H225" s="510"/>
      <c r="I225" s="510"/>
      <c r="J225" s="510"/>
      <c r="K225" s="510"/>
      <c r="L225" s="510"/>
      <c r="M225" s="511"/>
    </row>
    <row r="226" spans="1:13" ht="15.75" customHeight="1">
      <c r="A226" s="253" t="s">
        <v>293</v>
      </c>
      <c r="B226" s="254"/>
      <c r="C226" s="254"/>
      <c r="D226" s="254"/>
      <c r="E226" s="254"/>
      <c r="F226" s="254"/>
      <c r="G226" s="510"/>
      <c r="H226" s="510"/>
      <c r="I226" s="510"/>
      <c r="J226" s="510"/>
      <c r="K226" s="510"/>
      <c r="L226" s="510"/>
      <c r="M226" s="511"/>
    </row>
    <row r="227" spans="1:13" ht="15.75" customHeight="1">
      <c r="A227" s="253" t="s">
        <v>294</v>
      </c>
      <c r="B227" s="254"/>
      <c r="C227" s="254"/>
      <c r="D227" s="254"/>
      <c r="E227" s="254"/>
      <c r="F227" s="254"/>
      <c r="G227" s="510"/>
      <c r="H227" s="510"/>
      <c r="I227" s="510"/>
      <c r="J227" s="510"/>
      <c r="K227" s="510"/>
      <c r="L227" s="510"/>
      <c r="M227" s="511"/>
    </row>
    <row r="228" spans="1:13" ht="15" customHeight="1">
      <c r="A228" s="515" t="s">
        <v>295</v>
      </c>
      <c r="B228" s="516"/>
      <c r="C228" s="516"/>
      <c r="D228" s="516"/>
      <c r="E228" s="516"/>
      <c r="F228" s="516"/>
      <c r="G228" s="516"/>
      <c r="H228" s="516"/>
      <c r="I228" s="516"/>
      <c r="J228" s="516"/>
      <c r="K228" s="516"/>
      <c r="L228" s="516"/>
      <c r="M228" s="517"/>
    </row>
    <row r="229" spans="1:13">
      <c r="A229" s="256" t="s">
        <v>296</v>
      </c>
      <c r="B229" s="257"/>
      <c r="C229" s="257"/>
      <c r="D229" s="257"/>
      <c r="E229" s="257"/>
      <c r="F229" s="257"/>
      <c r="G229" s="258"/>
      <c r="H229" s="258"/>
      <c r="I229" s="258"/>
      <c r="J229" s="258"/>
      <c r="K229" s="258"/>
      <c r="L229" s="258"/>
      <c r="M229" s="259"/>
    </row>
    <row r="230" spans="1:13">
      <c r="A230" s="256" t="s">
        <v>297</v>
      </c>
      <c r="B230" s="257"/>
      <c r="C230" s="257"/>
      <c r="D230" s="257"/>
      <c r="E230" s="257"/>
      <c r="F230" s="257"/>
      <c r="G230" s="258"/>
      <c r="H230" s="258"/>
      <c r="I230" s="258"/>
      <c r="J230" s="258"/>
      <c r="K230" s="258"/>
      <c r="L230" s="258"/>
      <c r="M230" s="259"/>
    </row>
    <row r="231" spans="1:13">
      <c r="A231" s="256" t="s">
        <v>298</v>
      </c>
      <c r="B231" s="257"/>
      <c r="C231" s="257"/>
      <c r="D231" s="257"/>
      <c r="E231" s="257"/>
      <c r="F231" s="257"/>
      <c r="G231" s="258"/>
      <c r="H231" s="258"/>
      <c r="I231" s="258"/>
      <c r="J231" s="258"/>
      <c r="K231" s="258"/>
      <c r="L231" s="258"/>
      <c r="M231" s="259"/>
    </row>
    <row r="232" spans="1:13">
      <c r="A232" s="256" t="s">
        <v>299</v>
      </c>
      <c r="B232" s="257"/>
      <c r="C232" s="257"/>
      <c r="D232" s="257"/>
      <c r="E232" s="257"/>
      <c r="F232" s="257"/>
      <c r="G232" s="258"/>
      <c r="H232" s="258"/>
      <c r="I232" s="258"/>
      <c r="J232" s="258"/>
      <c r="K232" s="258"/>
      <c r="L232" s="258"/>
      <c r="M232" s="259"/>
    </row>
    <row r="233" spans="1:13">
      <c r="A233" s="256" t="s">
        <v>300</v>
      </c>
      <c r="B233" s="257"/>
      <c r="C233" s="257"/>
      <c r="D233" s="257"/>
      <c r="E233" s="257"/>
      <c r="F233" s="257"/>
      <c r="G233" s="257"/>
      <c r="H233" s="257"/>
      <c r="I233" s="257"/>
      <c r="J233" s="257"/>
      <c r="K233" s="257"/>
      <c r="L233" s="257"/>
      <c r="M233" s="260"/>
    </row>
    <row r="234" spans="1:13">
      <c r="A234" s="233" t="s">
        <v>75</v>
      </c>
      <c r="B234" s="234"/>
      <c r="C234" s="234"/>
      <c r="D234" s="234"/>
      <c r="E234" s="234"/>
      <c r="F234" s="234"/>
      <c r="G234" s="234"/>
      <c r="H234" s="234"/>
      <c r="I234" s="234"/>
      <c r="J234" s="234"/>
      <c r="K234" s="234">
        <f>SUM(K209:L213)</f>
        <v>0</v>
      </c>
      <c r="L234" s="234"/>
      <c r="M234" s="147"/>
    </row>
    <row r="235" spans="1:13">
      <c r="A235" s="233" t="s">
        <v>301</v>
      </c>
      <c r="B235" s="234"/>
      <c r="C235" s="234"/>
      <c r="D235" s="234"/>
      <c r="E235" s="234"/>
      <c r="F235" s="234"/>
      <c r="G235" s="234"/>
      <c r="H235" s="234"/>
      <c r="I235" s="234"/>
      <c r="J235" s="234"/>
      <c r="K235" s="234"/>
      <c r="L235" s="234"/>
      <c r="M235" s="235"/>
    </row>
    <row r="236" spans="1:13">
      <c r="A236" s="236" t="s">
        <v>863</v>
      </c>
      <c r="B236" s="237"/>
      <c r="C236" s="237"/>
      <c r="D236" s="237"/>
      <c r="E236" s="237"/>
      <c r="F236" s="237"/>
      <c r="G236" s="237"/>
      <c r="H236" s="237"/>
      <c r="I236" s="237"/>
      <c r="J236" s="237"/>
      <c r="K236" s="237"/>
      <c r="L236" s="237"/>
      <c r="M236" s="238"/>
    </row>
    <row r="237" spans="1:13">
      <c r="A237" s="149" t="s">
        <v>302</v>
      </c>
      <c r="B237" s="239"/>
      <c r="C237" s="240"/>
      <c r="D237" s="241"/>
      <c r="E237" s="242" t="s">
        <v>303</v>
      </c>
      <c r="F237" s="243"/>
      <c r="G237" s="244"/>
      <c r="H237" s="245"/>
      <c r="I237" s="245"/>
      <c r="J237" s="245"/>
      <c r="K237" s="245"/>
      <c r="L237" s="245"/>
      <c r="M237" s="246"/>
    </row>
    <row r="238" spans="1:13">
      <c r="A238" s="247" t="s">
        <v>304</v>
      </c>
      <c r="B238" s="248"/>
      <c r="C238" s="248"/>
      <c r="D238" s="248"/>
      <c r="E238" s="248"/>
      <c r="F238" s="248"/>
      <c r="G238" s="248"/>
      <c r="H238" s="248"/>
      <c r="I238" s="248"/>
      <c r="J238" s="248"/>
      <c r="K238" s="248"/>
      <c r="L238" s="248"/>
      <c r="M238" s="249"/>
    </row>
    <row r="239" spans="1:13">
      <c r="A239" s="149" t="s">
        <v>305</v>
      </c>
      <c r="B239" s="250"/>
      <c r="C239" s="251"/>
      <c r="D239" s="252"/>
      <c r="E239" s="253" t="s">
        <v>306</v>
      </c>
      <c r="F239" s="254"/>
      <c r="G239" s="254"/>
      <c r="H239" s="254"/>
      <c r="I239" s="254"/>
      <c r="J239" s="254"/>
      <c r="K239" s="254"/>
      <c r="L239" s="254"/>
      <c r="M239" s="255"/>
    </row>
    <row r="240" spans="1:13" ht="16.5" thickBot="1">
      <c r="A240" s="227" t="s">
        <v>307</v>
      </c>
      <c r="B240" s="228"/>
      <c r="C240" s="228"/>
      <c r="D240" s="228"/>
      <c r="E240" s="228"/>
      <c r="F240" s="228"/>
      <c r="G240" s="228"/>
      <c r="H240" s="228"/>
      <c r="I240" s="228"/>
      <c r="J240" s="228"/>
      <c r="K240" s="228"/>
      <c r="L240" s="228"/>
      <c r="M240" s="229"/>
    </row>
    <row r="241" spans="1:13" ht="16.5" thickBot="1">
      <c r="A241" s="230" t="s">
        <v>864</v>
      </c>
      <c r="B241" s="231"/>
      <c r="C241" s="231"/>
      <c r="D241" s="231"/>
      <c r="E241" s="231"/>
      <c r="F241" s="231"/>
      <c r="G241" s="231"/>
      <c r="H241" s="231"/>
      <c r="I241" s="231"/>
      <c r="J241" s="231"/>
      <c r="K241" s="231"/>
      <c r="L241" s="231"/>
      <c r="M241" s="232"/>
    </row>
  </sheetData>
  <mergeCells count="450">
    <mergeCell ref="A12:A15"/>
    <mergeCell ref="A129:A131"/>
    <mergeCell ref="A133:A135"/>
    <mergeCell ref="A137:A139"/>
    <mergeCell ref="B129:E131"/>
    <mergeCell ref="F129:I131"/>
    <mergeCell ref="J129:M131"/>
    <mergeCell ref="B133:E135"/>
    <mergeCell ref="A162:D163"/>
    <mergeCell ref="E162:I163"/>
    <mergeCell ref="J162:M163"/>
    <mergeCell ref="F133:I135"/>
    <mergeCell ref="J133:M135"/>
    <mergeCell ref="B137:E139"/>
    <mergeCell ref="F137:I139"/>
    <mergeCell ref="J137:M139"/>
    <mergeCell ref="B136:E136"/>
    <mergeCell ref="F136:I136"/>
    <mergeCell ref="J136:M136"/>
    <mergeCell ref="A140:M140"/>
    <mergeCell ref="B141:E141"/>
    <mergeCell ref="F141:I141"/>
    <mergeCell ref="J141:M141"/>
    <mergeCell ref="A142:A144"/>
    <mergeCell ref="A224:F224"/>
    <mergeCell ref="G224:M224"/>
    <mergeCell ref="A225:F225"/>
    <mergeCell ref="G225:M225"/>
    <mergeCell ref="A226:F226"/>
    <mergeCell ref="G226:M226"/>
    <mergeCell ref="A227:F227"/>
    <mergeCell ref="G227:M227"/>
    <mergeCell ref="A228:M228"/>
    <mergeCell ref="A219:F219"/>
    <mergeCell ref="G219:M219"/>
    <mergeCell ref="A220:F220"/>
    <mergeCell ref="G220:M220"/>
    <mergeCell ref="A221:F221"/>
    <mergeCell ref="G221:M221"/>
    <mergeCell ref="A222:F222"/>
    <mergeCell ref="G222:M222"/>
    <mergeCell ref="A223:F223"/>
    <mergeCell ref="G223:M223"/>
    <mergeCell ref="A215:F215"/>
    <mergeCell ref="G215:M215"/>
    <mergeCell ref="A216:F216"/>
    <mergeCell ref="G216:M216"/>
    <mergeCell ref="A214:M214"/>
    <mergeCell ref="A217:F217"/>
    <mergeCell ref="G217:M217"/>
    <mergeCell ref="A218:F218"/>
    <mergeCell ref="G218:M218"/>
    <mergeCell ref="B208:E208"/>
    <mergeCell ref="G208:H208"/>
    <mergeCell ref="I208:J208"/>
    <mergeCell ref="K208:L208"/>
    <mergeCell ref="B209:E209"/>
    <mergeCell ref="G209:H209"/>
    <mergeCell ref="I209:J209"/>
    <mergeCell ref="K209:L209"/>
    <mergeCell ref="B210:E210"/>
    <mergeCell ref="G210:H210"/>
    <mergeCell ref="I210:J210"/>
    <mergeCell ref="K210:L210"/>
    <mergeCell ref="A202:K202"/>
    <mergeCell ref="L202:M202"/>
    <mergeCell ref="A203:L203"/>
    <mergeCell ref="A204:L204"/>
    <mergeCell ref="A205:L205"/>
    <mergeCell ref="A206:M206"/>
    <mergeCell ref="B207:C207"/>
    <mergeCell ref="D207:E207"/>
    <mergeCell ref="G207:H207"/>
    <mergeCell ref="K207:L207"/>
    <mergeCell ref="A196:L196"/>
    <mergeCell ref="A197:M197"/>
    <mergeCell ref="A198:K198"/>
    <mergeCell ref="L198:M198"/>
    <mergeCell ref="A199:K199"/>
    <mergeCell ref="L199:M199"/>
    <mergeCell ref="A200:K200"/>
    <mergeCell ref="L200:M200"/>
    <mergeCell ref="A201:K201"/>
    <mergeCell ref="L201:M201"/>
    <mergeCell ref="A189:F189"/>
    <mergeCell ref="G189:M189"/>
    <mergeCell ref="A190:M190"/>
    <mergeCell ref="A191:K191"/>
    <mergeCell ref="L191:M191"/>
    <mergeCell ref="A192:M192"/>
    <mergeCell ref="A193:M193"/>
    <mergeCell ref="A194:L194"/>
    <mergeCell ref="A195:L195"/>
    <mergeCell ref="A182:D182"/>
    <mergeCell ref="E182:I182"/>
    <mergeCell ref="A187:F187"/>
    <mergeCell ref="G187:M187"/>
    <mergeCell ref="A188:F188"/>
    <mergeCell ref="G188:M188"/>
    <mergeCell ref="A184:D184"/>
    <mergeCell ref="E184:I184"/>
    <mergeCell ref="J184:M184"/>
    <mergeCell ref="A185:M185"/>
    <mergeCell ref="A186:F186"/>
    <mergeCell ref="G186:M186"/>
    <mergeCell ref="A179:D179"/>
    <mergeCell ref="E179:I179"/>
    <mergeCell ref="J179:M179"/>
    <mergeCell ref="A180:D180"/>
    <mergeCell ref="E180:I180"/>
    <mergeCell ref="J180:M180"/>
    <mergeCell ref="A181:D181"/>
    <mergeCell ref="E181:I181"/>
    <mergeCell ref="J181:M181"/>
    <mergeCell ref="B142:E144"/>
    <mergeCell ref="F142:I144"/>
    <mergeCell ref="J142:M144"/>
    <mergeCell ref="A160:D161"/>
    <mergeCell ref="E160:I161"/>
    <mergeCell ref="J160:M161"/>
    <mergeCell ref="A150:A152"/>
    <mergeCell ref="B150:E152"/>
    <mergeCell ref="F150:I152"/>
    <mergeCell ref="J150:M152"/>
    <mergeCell ref="A153:M153"/>
    <mergeCell ref="B145:E145"/>
    <mergeCell ref="F145:I145"/>
    <mergeCell ref="J145:M145"/>
    <mergeCell ref="A146:A148"/>
    <mergeCell ref="B146:E148"/>
    <mergeCell ref="F146:I148"/>
    <mergeCell ref="J146:M148"/>
    <mergeCell ref="B149:E149"/>
    <mergeCell ref="F149:I149"/>
    <mergeCell ref="J149:M149"/>
    <mergeCell ref="A154:M154"/>
    <mergeCell ref="A155:M155"/>
    <mergeCell ref="A156:M156"/>
    <mergeCell ref="A117:I117"/>
    <mergeCell ref="K117:M117"/>
    <mergeCell ref="A118:M118"/>
    <mergeCell ref="A119:I119"/>
    <mergeCell ref="K119:M119"/>
    <mergeCell ref="B128:E128"/>
    <mergeCell ref="F128:I128"/>
    <mergeCell ref="J128:M128"/>
    <mergeCell ref="B132:E132"/>
    <mergeCell ref="F132:I132"/>
    <mergeCell ref="J132:M132"/>
    <mergeCell ref="A126:M126"/>
    <mergeCell ref="A127:A128"/>
    <mergeCell ref="B127:M127"/>
    <mergeCell ref="A120:M120"/>
    <mergeCell ref="A121:I121"/>
    <mergeCell ref="K121:M121"/>
    <mergeCell ref="A122:M122"/>
    <mergeCell ref="A123:I123"/>
    <mergeCell ref="K123:M123"/>
    <mergeCell ref="A124:M124"/>
    <mergeCell ref="A125:I125"/>
    <mergeCell ref="K125:M125"/>
    <mergeCell ref="A112:I112"/>
    <mergeCell ref="A111:I111"/>
    <mergeCell ref="J111:M111"/>
    <mergeCell ref="J112:M112"/>
    <mergeCell ref="A113:I113"/>
    <mergeCell ref="J113:M113"/>
    <mergeCell ref="A114:M114"/>
    <mergeCell ref="A115:M115"/>
    <mergeCell ref="A116:M116"/>
    <mergeCell ref="A104:D104"/>
    <mergeCell ref="E104:M104"/>
    <mergeCell ref="A107:M107"/>
    <mergeCell ref="A109:M109"/>
    <mergeCell ref="A110:I110"/>
    <mergeCell ref="A105:D105"/>
    <mergeCell ref="E105:M105"/>
    <mergeCell ref="A106:D106"/>
    <mergeCell ref="E106:M106"/>
    <mergeCell ref="A108:M108"/>
    <mergeCell ref="J110:M110"/>
    <mergeCell ref="A99:M99"/>
    <mergeCell ref="A103:M103"/>
    <mergeCell ref="A98:M98"/>
    <mergeCell ref="A100:D100"/>
    <mergeCell ref="E100:M100"/>
    <mergeCell ref="A101:D101"/>
    <mergeCell ref="E101:M101"/>
    <mergeCell ref="A102:D102"/>
    <mergeCell ref="E102:M102"/>
    <mergeCell ref="A93:D93"/>
    <mergeCell ref="E93:M93"/>
    <mergeCell ref="A94:D94"/>
    <mergeCell ref="E94:M94"/>
    <mergeCell ref="A96:D96"/>
    <mergeCell ref="E96:M96"/>
    <mergeCell ref="A95:D95"/>
    <mergeCell ref="E95:M95"/>
    <mergeCell ref="A97:M97"/>
    <mergeCell ref="A83:D83"/>
    <mergeCell ref="E83:M83"/>
    <mergeCell ref="A84:D84"/>
    <mergeCell ref="A85:D85"/>
    <mergeCell ref="A86:D86"/>
    <mergeCell ref="A87:D87"/>
    <mergeCell ref="A88:D88"/>
    <mergeCell ref="A92:D92"/>
    <mergeCell ref="E92:M92"/>
    <mergeCell ref="A89:D89"/>
    <mergeCell ref="A90:D90"/>
    <mergeCell ref="A91:D91"/>
    <mergeCell ref="A78:D78"/>
    <mergeCell ref="E78:M78"/>
    <mergeCell ref="A79:D79"/>
    <mergeCell ref="E79:M79"/>
    <mergeCell ref="A80:D80"/>
    <mergeCell ref="E80:M80"/>
    <mergeCell ref="A81:D81"/>
    <mergeCell ref="E81:M81"/>
    <mergeCell ref="A82:D82"/>
    <mergeCell ref="E82:M82"/>
    <mergeCell ref="A73:D73"/>
    <mergeCell ref="E73:M73"/>
    <mergeCell ref="A74:D74"/>
    <mergeCell ref="E74:M74"/>
    <mergeCell ref="A75:D75"/>
    <mergeCell ref="E75:M75"/>
    <mergeCell ref="A76:D76"/>
    <mergeCell ref="E76:M76"/>
    <mergeCell ref="A77:D77"/>
    <mergeCell ref="E77:M77"/>
    <mergeCell ref="A67:K67"/>
    <mergeCell ref="L67:M67"/>
    <mergeCell ref="A68:M68"/>
    <mergeCell ref="A69:M69"/>
    <mergeCell ref="A70:C70"/>
    <mergeCell ref="D70:M70"/>
    <mergeCell ref="A71:K71"/>
    <mergeCell ref="L71:M71"/>
    <mergeCell ref="A72:M72"/>
    <mergeCell ref="A62:K62"/>
    <mergeCell ref="L62:M62"/>
    <mergeCell ref="A63:K63"/>
    <mergeCell ref="L63:M63"/>
    <mergeCell ref="A64:K64"/>
    <mergeCell ref="L64:M64"/>
    <mergeCell ref="A65:K65"/>
    <mergeCell ref="L65:M65"/>
    <mergeCell ref="A66:K66"/>
    <mergeCell ref="L66:M66"/>
    <mergeCell ref="A58:E58"/>
    <mergeCell ref="G58:L58"/>
    <mergeCell ref="A59:C59"/>
    <mergeCell ref="D59:E59"/>
    <mergeCell ref="G59:L59"/>
    <mergeCell ref="A60:K60"/>
    <mergeCell ref="L60:M60"/>
    <mergeCell ref="A61:K61"/>
    <mergeCell ref="L61:M61"/>
    <mergeCell ref="A54:D54"/>
    <mergeCell ref="E54:F54"/>
    <mergeCell ref="G54:L54"/>
    <mergeCell ref="A55:M55"/>
    <mergeCell ref="A56:F56"/>
    <mergeCell ref="G56:M56"/>
    <mergeCell ref="A57:C57"/>
    <mergeCell ref="E57:G57"/>
    <mergeCell ref="I57:J57"/>
    <mergeCell ref="A46:M46"/>
    <mergeCell ref="A47:M47"/>
    <mergeCell ref="A48:M48"/>
    <mergeCell ref="A49:M49"/>
    <mergeCell ref="A50:M50"/>
    <mergeCell ref="A51:M51"/>
    <mergeCell ref="A52:M52"/>
    <mergeCell ref="A53:D53"/>
    <mergeCell ref="E53:F53"/>
    <mergeCell ref="G53:L53"/>
    <mergeCell ref="B36:F36"/>
    <mergeCell ref="G36:I36"/>
    <mergeCell ref="J36:M36"/>
    <mergeCell ref="B37:F37"/>
    <mergeCell ref="G37:I37"/>
    <mergeCell ref="J37:M37"/>
    <mergeCell ref="A38:M38"/>
    <mergeCell ref="A44:M44"/>
    <mergeCell ref="A45:M45"/>
    <mergeCell ref="A39:M39"/>
    <mergeCell ref="A40:M40"/>
    <mergeCell ref="A41:M41"/>
    <mergeCell ref="A42:M42"/>
    <mergeCell ref="A43:M43"/>
    <mergeCell ref="A31:F31"/>
    <mergeCell ref="G31:M31"/>
    <mergeCell ref="A32:F32"/>
    <mergeCell ref="G32:M32"/>
    <mergeCell ref="A33:F33"/>
    <mergeCell ref="G33:M33"/>
    <mergeCell ref="A34:F34"/>
    <mergeCell ref="G34:M34"/>
    <mergeCell ref="A35:F35"/>
    <mergeCell ref="G35:M35"/>
    <mergeCell ref="B25:E25"/>
    <mergeCell ref="A26:M26"/>
    <mergeCell ref="A27:F27"/>
    <mergeCell ref="G27:M27"/>
    <mergeCell ref="A28:F28"/>
    <mergeCell ref="G28:M28"/>
    <mergeCell ref="A29:F29"/>
    <mergeCell ref="G29:M29"/>
    <mergeCell ref="A30:F30"/>
    <mergeCell ref="G30:M30"/>
    <mergeCell ref="B22:E22"/>
    <mergeCell ref="G22:H22"/>
    <mergeCell ref="I22:J22"/>
    <mergeCell ref="K22:L22"/>
    <mergeCell ref="B23:E23"/>
    <mergeCell ref="G23:H23"/>
    <mergeCell ref="I23:J23"/>
    <mergeCell ref="K23:L23"/>
    <mergeCell ref="A24:E24"/>
    <mergeCell ref="B19:E19"/>
    <mergeCell ref="G19:H19"/>
    <mergeCell ref="I19:J19"/>
    <mergeCell ref="K19:L19"/>
    <mergeCell ref="B20:E20"/>
    <mergeCell ref="G20:H20"/>
    <mergeCell ref="I20:J20"/>
    <mergeCell ref="K20:L20"/>
    <mergeCell ref="B21:E21"/>
    <mergeCell ref="G21:H21"/>
    <mergeCell ref="I21:J21"/>
    <mergeCell ref="K21:L21"/>
    <mergeCell ref="A16:F16"/>
    <mergeCell ref="G16:M16"/>
    <mergeCell ref="B17:C17"/>
    <mergeCell ref="D17:E17"/>
    <mergeCell ref="G17:H17"/>
    <mergeCell ref="K17:L17"/>
    <mergeCell ref="B18:E18"/>
    <mergeCell ref="G18:H18"/>
    <mergeCell ref="I18:J18"/>
    <mergeCell ref="K18:L18"/>
    <mergeCell ref="B14:C14"/>
    <mergeCell ref="D14:E14"/>
    <mergeCell ref="F14:G14"/>
    <mergeCell ref="H14:I14"/>
    <mergeCell ref="J14:M14"/>
    <mergeCell ref="B15:C15"/>
    <mergeCell ref="D15:E15"/>
    <mergeCell ref="F15:G15"/>
    <mergeCell ref="H15:I15"/>
    <mergeCell ref="J15:M15"/>
    <mergeCell ref="B12:C12"/>
    <mergeCell ref="D12:E12"/>
    <mergeCell ref="F12:G12"/>
    <mergeCell ref="H12:I12"/>
    <mergeCell ref="J12:K12"/>
    <mergeCell ref="L12:M12"/>
    <mergeCell ref="B13:C13"/>
    <mergeCell ref="D13:E13"/>
    <mergeCell ref="F13:G13"/>
    <mergeCell ref="H13:I13"/>
    <mergeCell ref="J13:K13"/>
    <mergeCell ref="L13:M13"/>
    <mergeCell ref="B8:E8"/>
    <mergeCell ref="F8:H8"/>
    <mergeCell ref="I8:M8"/>
    <mergeCell ref="B9:E9"/>
    <mergeCell ref="F9:H9"/>
    <mergeCell ref="I9:M9"/>
    <mergeCell ref="B10:M10"/>
    <mergeCell ref="B11:E11"/>
    <mergeCell ref="F11:I11"/>
    <mergeCell ref="J11:M11"/>
    <mergeCell ref="A1:M1"/>
    <mergeCell ref="A2:M2"/>
    <mergeCell ref="B3:M3"/>
    <mergeCell ref="B4:M4"/>
    <mergeCell ref="B5:M5"/>
    <mergeCell ref="B6:M6"/>
    <mergeCell ref="B7:E7"/>
    <mergeCell ref="F7:H7"/>
    <mergeCell ref="I7:M7"/>
    <mergeCell ref="A157:J157"/>
    <mergeCell ref="K157:M157"/>
    <mergeCell ref="A158:M158"/>
    <mergeCell ref="A159:D159"/>
    <mergeCell ref="E159:I159"/>
    <mergeCell ref="J159:M159"/>
    <mergeCell ref="A164:D165"/>
    <mergeCell ref="E164:I165"/>
    <mergeCell ref="J164:M165"/>
    <mergeCell ref="A166:D167"/>
    <mergeCell ref="E166:I167"/>
    <mergeCell ref="J166:M167"/>
    <mergeCell ref="A168:D169"/>
    <mergeCell ref="E168:I169"/>
    <mergeCell ref="J168:M169"/>
    <mergeCell ref="J182:M182"/>
    <mergeCell ref="A183:D183"/>
    <mergeCell ref="E183:I183"/>
    <mergeCell ref="J183:M183"/>
    <mergeCell ref="A170:M170"/>
    <mergeCell ref="A171:D172"/>
    <mergeCell ref="E171:I172"/>
    <mergeCell ref="J171:M172"/>
    <mergeCell ref="A173:D174"/>
    <mergeCell ref="E173:I174"/>
    <mergeCell ref="J173:M174"/>
    <mergeCell ref="A175:D176"/>
    <mergeCell ref="E175:I176"/>
    <mergeCell ref="J175:M176"/>
    <mergeCell ref="A177:D177"/>
    <mergeCell ref="E177:I177"/>
    <mergeCell ref="J177:M177"/>
    <mergeCell ref="A178:M178"/>
    <mergeCell ref="I211:J211"/>
    <mergeCell ref="K211:L211"/>
    <mergeCell ref="B212:E212"/>
    <mergeCell ref="G212:H212"/>
    <mergeCell ref="I212:J212"/>
    <mergeCell ref="K212:L212"/>
    <mergeCell ref="B213:E213"/>
    <mergeCell ref="G213:H213"/>
    <mergeCell ref="I213:J213"/>
    <mergeCell ref="K213:L213"/>
    <mergeCell ref="B211:E211"/>
    <mergeCell ref="G211:H211"/>
    <mergeCell ref="A229:F229"/>
    <mergeCell ref="G229:M229"/>
    <mergeCell ref="A230:F230"/>
    <mergeCell ref="G230:M230"/>
    <mergeCell ref="A231:F231"/>
    <mergeCell ref="G231:M231"/>
    <mergeCell ref="A232:F232"/>
    <mergeCell ref="G232:M232"/>
    <mergeCell ref="A233:M233"/>
    <mergeCell ref="A240:M240"/>
    <mergeCell ref="A241:M241"/>
    <mergeCell ref="A234:J234"/>
    <mergeCell ref="K234:L234"/>
    <mergeCell ref="A235:M235"/>
    <mergeCell ref="A236:M236"/>
    <mergeCell ref="B237:D237"/>
    <mergeCell ref="E237:F237"/>
    <mergeCell ref="G237:M237"/>
    <mergeCell ref="A238:M238"/>
    <mergeCell ref="B239:D239"/>
    <mergeCell ref="E239:M239"/>
  </mergeCells>
  <dataValidations count="1">
    <dataValidation type="list" allowBlank="1" showInputMessage="1" showErrorMessage="1" error="Enter Date in dd/mm/yyyy format" sqref="G215:G227 G229:G233" xr:uid="{A372BED4-D3C8-410A-A11E-714311F35E41}">
      <formula1>"Yes, No, N/A"</formula1>
    </dataValidation>
  </dataValidations>
  <hyperlinks>
    <hyperlink ref="O1" location="'Index '!B4" display="Index" xr:uid="{00000000-0004-0000-0100-000000000000}"/>
  </hyperlink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0469" r:id="rId3" name="Check Box 117">
              <controlPr defaultSize="0" autoPict="0">
                <anchor moveWithCells="1">
                  <from>
                    <xdr:col>4</xdr:col>
                    <xdr:colOff>38100</xdr:colOff>
                    <xdr:row>11</xdr:row>
                    <xdr:rowOff>9525</xdr:rowOff>
                  </from>
                  <to>
                    <xdr:col>4</xdr:col>
                    <xdr:colOff>209550</xdr:colOff>
                    <xdr:row>12</xdr:row>
                    <xdr:rowOff>28575</xdr:rowOff>
                  </to>
                </anchor>
              </controlPr>
            </control>
          </mc:Choice>
        </mc:AlternateContent>
        <mc:AlternateContent xmlns:mc="http://schemas.openxmlformats.org/markup-compatibility/2006">
          <mc:Choice Requires="x14">
            <control shapeId="100470" r:id="rId4" name="Check Box 118">
              <controlPr defaultSize="0" autoPict="0">
                <anchor moveWithCells="1">
                  <from>
                    <xdr:col>5</xdr:col>
                    <xdr:colOff>285750</xdr:colOff>
                    <xdr:row>11</xdr:row>
                    <xdr:rowOff>0</xdr:rowOff>
                  </from>
                  <to>
                    <xdr:col>6</xdr:col>
                    <xdr:colOff>171450</xdr:colOff>
                    <xdr:row>12</xdr:row>
                    <xdr:rowOff>28575</xdr:rowOff>
                  </to>
                </anchor>
              </controlPr>
            </control>
          </mc:Choice>
        </mc:AlternateContent>
        <mc:AlternateContent xmlns:mc="http://schemas.openxmlformats.org/markup-compatibility/2006">
          <mc:Choice Requires="x14">
            <control shapeId="100471" r:id="rId5" name="Check Box 119">
              <controlPr defaultSize="0" autoPict="0">
                <anchor moveWithCells="1">
                  <from>
                    <xdr:col>7</xdr:col>
                    <xdr:colOff>209550</xdr:colOff>
                    <xdr:row>11</xdr:row>
                    <xdr:rowOff>0</xdr:rowOff>
                  </from>
                  <to>
                    <xdr:col>8</xdr:col>
                    <xdr:colOff>133350</xdr:colOff>
                    <xdr:row>12</xdr:row>
                    <xdr:rowOff>28575</xdr:rowOff>
                  </to>
                </anchor>
              </controlPr>
            </control>
          </mc:Choice>
        </mc:AlternateContent>
        <mc:AlternateContent xmlns:mc="http://schemas.openxmlformats.org/markup-compatibility/2006">
          <mc:Choice Requires="x14">
            <control shapeId="100472" r:id="rId6" name="Check Box 120">
              <controlPr defaultSize="0" autoPict="0">
                <anchor moveWithCells="1">
                  <from>
                    <xdr:col>9</xdr:col>
                    <xdr:colOff>209550</xdr:colOff>
                    <xdr:row>11</xdr:row>
                    <xdr:rowOff>0</xdr:rowOff>
                  </from>
                  <to>
                    <xdr:col>10</xdr:col>
                    <xdr:colOff>19050</xdr:colOff>
                    <xdr:row>12</xdr:row>
                    <xdr:rowOff>28575</xdr:rowOff>
                  </to>
                </anchor>
              </controlPr>
            </control>
          </mc:Choice>
        </mc:AlternateContent>
        <mc:AlternateContent xmlns:mc="http://schemas.openxmlformats.org/markup-compatibility/2006">
          <mc:Choice Requires="x14">
            <control shapeId="100473" r:id="rId7" name="Check Box 121">
              <controlPr defaultSize="0" autoPict="0">
                <anchor moveWithCells="1">
                  <from>
                    <xdr:col>11</xdr:col>
                    <xdr:colOff>190500</xdr:colOff>
                    <xdr:row>11</xdr:row>
                    <xdr:rowOff>9525</xdr:rowOff>
                  </from>
                  <to>
                    <xdr:col>11</xdr:col>
                    <xdr:colOff>390525</xdr:colOff>
                    <xdr:row>12</xdr:row>
                    <xdr:rowOff>28575</xdr:rowOff>
                  </to>
                </anchor>
              </controlPr>
            </control>
          </mc:Choice>
        </mc:AlternateContent>
        <mc:AlternateContent xmlns:mc="http://schemas.openxmlformats.org/markup-compatibility/2006">
          <mc:Choice Requires="x14">
            <control shapeId="100474" r:id="rId8" name="Check Box 122">
              <controlPr defaultSize="0" autoPict="0">
                <anchor moveWithCells="1">
                  <from>
                    <xdr:col>2</xdr:col>
                    <xdr:colOff>9525</xdr:colOff>
                    <xdr:row>11</xdr:row>
                    <xdr:rowOff>0</xdr:rowOff>
                  </from>
                  <to>
                    <xdr:col>2</xdr:col>
                    <xdr:colOff>161925</xdr:colOff>
                    <xdr:row>12</xdr:row>
                    <xdr:rowOff>28575</xdr:rowOff>
                  </to>
                </anchor>
              </controlPr>
            </control>
          </mc:Choice>
        </mc:AlternateContent>
        <mc:AlternateContent xmlns:mc="http://schemas.openxmlformats.org/markup-compatibility/2006">
          <mc:Choice Requires="x14">
            <control shapeId="100475" r:id="rId9" name="Check Box 123">
              <controlPr defaultSize="0" autoPict="0">
                <anchor moveWithCells="1">
                  <from>
                    <xdr:col>2</xdr:col>
                    <xdr:colOff>400050</xdr:colOff>
                    <xdr:row>56</xdr:row>
                    <xdr:rowOff>0</xdr:rowOff>
                  </from>
                  <to>
                    <xdr:col>3</xdr:col>
                    <xdr:colOff>295275</xdr:colOff>
                    <xdr:row>56</xdr:row>
                    <xdr:rowOff>152400</xdr:rowOff>
                  </to>
                </anchor>
              </controlPr>
            </control>
          </mc:Choice>
        </mc:AlternateContent>
        <mc:AlternateContent xmlns:mc="http://schemas.openxmlformats.org/markup-compatibility/2006">
          <mc:Choice Requires="x14">
            <control shapeId="100476" r:id="rId10" name="Check Box 124">
              <controlPr defaultSize="0" autoPict="0">
                <anchor moveWithCells="1">
                  <from>
                    <xdr:col>7</xdr:col>
                    <xdr:colOff>0</xdr:colOff>
                    <xdr:row>56</xdr:row>
                    <xdr:rowOff>0</xdr:rowOff>
                  </from>
                  <to>
                    <xdr:col>7</xdr:col>
                    <xdr:colOff>161925</xdr:colOff>
                    <xdr:row>56</xdr:row>
                    <xdr:rowOff>152400</xdr:rowOff>
                  </to>
                </anchor>
              </controlPr>
            </control>
          </mc:Choice>
        </mc:AlternateContent>
        <mc:AlternateContent xmlns:mc="http://schemas.openxmlformats.org/markup-compatibility/2006">
          <mc:Choice Requires="x14">
            <control shapeId="100477" r:id="rId11" name="Check Box 125">
              <controlPr defaultSize="0" autoPict="0">
                <anchor moveWithCells="1">
                  <from>
                    <xdr:col>10</xdr:col>
                    <xdr:colOff>57150</xdr:colOff>
                    <xdr:row>56</xdr:row>
                    <xdr:rowOff>0</xdr:rowOff>
                  </from>
                  <to>
                    <xdr:col>10</xdr:col>
                    <xdr:colOff>285750</xdr:colOff>
                    <xdr:row>56</xdr:row>
                    <xdr:rowOff>152400</xdr:rowOff>
                  </to>
                </anchor>
              </controlPr>
            </control>
          </mc:Choice>
        </mc:AlternateContent>
        <mc:AlternateContent xmlns:mc="http://schemas.openxmlformats.org/markup-compatibility/2006">
          <mc:Choice Requires="x14">
            <control shapeId="100478" r:id="rId12" name="Check Box 126">
              <controlPr defaultSize="0" autoPict="0">
                <anchor moveWithCells="1">
                  <from>
                    <xdr:col>12</xdr:col>
                    <xdr:colOff>47625</xdr:colOff>
                    <xdr:row>56</xdr:row>
                    <xdr:rowOff>0</xdr:rowOff>
                  </from>
                  <to>
                    <xdr:col>12</xdr:col>
                    <xdr:colOff>314325</xdr:colOff>
                    <xdr:row>56</xdr:row>
                    <xdr:rowOff>152400</xdr:rowOff>
                  </to>
                </anchor>
              </controlPr>
            </control>
          </mc:Choice>
        </mc:AlternateContent>
        <mc:AlternateContent xmlns:mc="http://schemas.openxmlformats.org/markup-compatibility/2006">
          <mc:Choice Requires="x14">
            <control shapeId="100479" r:id="rId13" name="Check Box 127">
              <controlPr defaultSize="0" autoPict="0">
                <anchor moveWithCells="1">
                  <from>
                    <xdr:col>4</xdr:col>
                    <xdr:colOff>0</xdr:colOff>
                    <xdr:row>12</xdr:row>
                    <xdr:rowOff>247650</xdr:rowOff>
                  </from>
                  <to>
                    <xdr:col>4</xdr:col>
                    <xdr:colOff>133350</xdr:colOff>
                    <xdr:row>13</xdr:row>
                    <xdr:rowOff>180975</xdr:rowOff>
                  </to>
                </anchor>
              </controlPr>
            </control>
          </mc:Choice>
        </mc:AlternateContent>
        <mc:AlternateContent xmlns:mc="http://schemas.openxmlformats.org/markup-compatibility/2006">
          <mc:Choice Requires="x14">
            <control shapeId="100480" r:id="rId14" name="Check Box 128">
              <controlPr defaultSize="0" autoPict="0">
                <anchor moveWithCells="1">
                  <from>
                    <xdr:col>2</xdr:col>
                    <xdr:colOff>38100</xdr:colOff>
                    <xdr:row>13</xdr:row>
                    <xdr:rowOff>0</xdr:rowOff>
                  </from>
                  <to>
                    <xdr:col>2</xdr:col>
                    <xdr:colOff>209550</xdr:colOff>
                    <xdr:row>14</xdr:row>
                    <xdr:rowOff>19050</xdr:rowOff>
                  </to>
                </anchor>
              </controlPr>
            </control>
          </mc:Choice>
        </mc:AlternateContent>
        <mc:AlternateContent xmlns:mc="http://schemas.openxmlformats.org/markup-compatibility/2006">
          <mc:Choice Requires="x14">
            <control shapeId="100481" r:id="rId15" name="Check Box 129">
              <controlPr defaultSize="0" autoPict="0">
                <anchor moveWithCells="1">
                  <from>
                    <xdr:col>5</xdr:col>
                    <xdr:colOff>400050</xdr:colOff>
                    <xdr:row>12</xdr:row>
                    <xdr:rowOff>209550</xdr:rowOff>
                  </from>
                  <to>
                    <xdr:col>6</xdr:col>
                    <xdr:colOff>285750</xdr:colOff>
                    <xdr:row>14</xdr:row>
                    <xdr:rowOff>123825</xdr:rowOff>
                  </to>
                </anchor>
              </controlPr>
            </control>
          </mc:Choice>
        </mc:AlternateContent>
        <mc:AlternateContent xmlns:mc="http://schemas.openxmlformats.org/markup-compatibility/2006">
          <mc:Choice Requires="x14">
            <control shapeId="100482" r:id="rId16" name="Check Box 130">
              <controlPr defaultSize="0" autoPict="0">
                <anchor moveWithCells="1">
                  <from>
                    <xdr:col>8</xdr:col>
                    <xdr:colOff>76200</xdr:colOff>
                    <xdr:row>12</xdr:row>
                    <xdr:rowOff>228600</xdr:rowOff>
                  </from>
                  <to>
                    <xdr:col>8</xdr:col>
                    <xdr:colOff>352425</xdr:colOff>
                    <xdr:row>14</xdr:row>
                    <xdr:rowOff>114300</xdr:rowOff>
                  </to>
                </anchor>
              </controlPr>
            </control>
          </mc:Choice>
        </mc:AlternateContent>
        <mc:AlternateContent xmlns:mc="http://schemas.openxmlformats.org/markup-compatibility/2006">
          <mc:Choice Requires="x14">
            <control shapeId="100486" r:id="rId17" name="Check Box 134">
              <controlPr defaultSize="0" autoPict="0">
                <anchor moveWithCells="1">
                  <from>
                    <xdr:col>12</xdr:col>
                    <xdr:colOff>238125</xdr:colOff>
                    <xdr:row>190</xdr:row>
                    <xdr:rowOff>0</xdr:rowOff>
                  </from>
                  <to>
                    <xdr:col>12</xdr:col>
                    <xdr:colOff>542925</xdr:colOff>
                    <xdr:row>190</xdr:row>
                    <xdr:rowOff>133350</xdr:rowOff>
                  </to>
                </anchor>
              </controlPr>
            </control>
          </mc:Choice>
        </mc:AlternateContent>
        <mc:AlternateContent xmlns:mc="http://schemas.openxmlformats.org/markup-compatibility/2006">
          <mc:Choice Requires="x14">
            <control shapeId="100487" r:id="rId18" name="Check Box 135">
              <controlPr defaultSize="0" autoPict="0">
                <anchor moveWithCells="1">
                  <from>
                    <xdr:col>12</xdr:col>
                    <xdr:colOff>228600</xdr:colOff>
                    <xdr:row>190</xdr:row>
                    <xdr:rowOff>228600</xdr:rowOff>
                  </from>
                  <to>
                    <xdr:col>12</xdr:col>
                    <xdr:colOff>447675</xdr:colOff>
                    <xdr:row>192</xdr:row>
                    <xdr:rowOff>47625</xdr:rowOff>
                  </to>
                </anchor>
              </controlPr>
            </control>
          </mc:Choice>
        </mc:AlternateContent>
        <mc:AlternateContent xmlns:mc="http://schemas.openxmlformats.org/markup-compatibility/2006">
          <mc:Choice Requires="x14">
            <control shapeId="100488" r:id="rId19" name="Check Box 136">
              <controlPr defaultSize="0" autoPict="0">
                <anchor moveWithCells="1">
                  <from>
                    <xdr:col>12</xdr:col>
                    <xdr:colOff>238125</xdr:colOff>
                    <xdr:row>192</xdr:row>
                    <xdr:rowOff>0</xdr:rowOff>
                  </from>
                  <to>
                    <xdr:col>12</xdr:col>
                    <xdr:colOff>438150</xdr:colOff>
                    <xdr:row>192</xdr:row>
                    <xdr:rowOff>152400</xdr:rowOff>
                  </to>
                </anchor>
              </controlPr>
            </control>
          </mc:Choice>
        </mc:AlternateContent>
        <mc:AlternateContent xmlns:mc="http://schemas.openxmlformats.org/markup-compatibility/2006">
          <mc:Choice Requires="x14">
            <control shapeId="100501" r:id="rId20" name="Check Box 149">
              <controlPr defaultSiz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02" r:id="rId21" name="Check Box 150">
              <controlPr defaultSiz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24" r:id="rId22" name="Check Box 172">
              <controlPr defaultSize="0" autoPict="0">
                <anchor moveWithCells="1">
                  <from>
                    <xdr:col>1</xdr:col>
                    <xdr:colOff>114300</xdr:colOff>
                    <xdr:row>135</xdr:row>
                    <xdr:rowOff>142875</xdr:rowOff>
                  </from>
                  <to>
                    <xdr:col>2</xdr:col>
                    <xdr:colOff>200025</xdr:colOff>
                    <xdr:row>135</xdr:row>
                    <xdr:rowOff>504825</xdr:rowOff>
                  </to>
                </anchor>
              </controlPr>
            </control>
          </mc:Choice>
        </mc:AlternateContent>
        <mc:AlternateContent xmlns:mc="http://schemas.openxmlformats.org/markup-compatibility/2006">
          <mc:Choice Requires="x14">
            <control shapeId="100525" r:id="rId23" name="Check Box 173">
              <controlPr defaultSize="0" autoPict="0">
                <anchor moveWithCells="1">
                  <from>
                    <xdr:col>5</xdr:col>
                    <xdr:colOff>171450</xdr:colOff>
                    <xdr:row>135</xdr:row>
                    <xdr:rowOff>152400</xdr:rowOff>
                  </from>
                  <to>
                    <xdr:col>5</xdr:col>
                    <xdr:colOff>571500</xdr:colOff>
                    <xdr:row>135</xdr:row>
                    <xdr:rowOff>514350</xdr:rowOff>
                  </to>
                </anchor>
              </controlPr>
            </control>
          </mc:Choice>
        </mc:AlternateContent>
        <mc:AlternateContent xmlns:mc="http://schemas.openxmlformats.org/markup-compatibility/2006">
          <mc:Choice Requires="x14">
            <control shapeId="100526" r:id="rId24" name="Check Box 174">
              <controlPr defaultSize="0" autoPict="0">
                <anchor moveWithCells="1">
                  <from>
                    <xdr:col>9</xdr:col>
                    <xdr:colOff>257175</xdr:colOff>
                    <xdr:row>135</xdr:row>
                    <xdr:rowOff>133350</xdr:rowOff>
                  </from>
                  <to>
                    <xdr:col>10</xdr:col>
                    <xdr:colOff>304800</xdr:colOff>
                    <xdr:row>135</xdr:row>
                    <xdr:rowOff>495300</xdr:rowOff>
                  </to>
                </anchor>
              </controlPr>
            </control>
          </mc:Choice>
        </mc:AlternateContent>
        <mc:AlternateContent xmlns:mc="http://schemas.openxmlformats.org/markup-compatibility/2006">
          <mc:Choice Requires="x14">
            <control shapeId="100527" r:id="rId25" name="Check Box 175">
              <controlPr defaultSize="0" autoPict="0">
                <anchor moveWithCells="1">
                  <from>
                    <xdr:col>9</xdr:col>
                    <xdr:colOff>228600</xdr:colOff>
                    <xdr:row>131</xdr:row>
                    <xdr:rowOff>133350</xdr:rowOff>
                  </from>
                  <to>
                    <xdr:col>10</xdr:col>
                    <xdr:colOff>95250</xdr:colOff>
                    <xdr:row>131</xdr:row>
                    <xdr:rowOff>495300</xdr:rowOff>
                  </to>
                </anchor>
              </controlPr>
            </control>
          </mc:Choice>
        </mc:AlternateContent>
        <mc:AlternateContent xmlns:mc="http://schemas.openxmlformats.org/markup-compatibility/2006">
          <mc:Choice Requires="x14">
            <control shapeId="100528" r:id="rId26" name="Check Box 176">
              <controlPr defaultSize="0" autoPict="0">
                <anchor moveWithCells="1">
                  <from>
                    <xdr:col>5</xdr:col>
                    <xdr:colOff>190500</xdr:colOff>
                    <xdr:row>131</xdr:row>
                    <xdr:rowOff>123825</xdr:rowOff>
                  </from>
                  <to>
                    <xdr:col>5</xdr:col>
                    <xdr:colOff>590550</xdr:colOff>
                    <xdr:row>131</xdr:row>
                    <xdr:rowOff>485775</xdr:rowOff>
                  </to>
                </anchor>
              </controlPr>
            </control>
          </mc:Choice>
        </mc:AlternateContent>
        <mc:AlternateContent xmlns:mc="http://schemas.openxmlformats.org/markup-compatibility/2006">
          <mc:Choice Requires="x14">
            <control shapeId="100529" r:id="rId27" name="Check Box 177">
              <controlPr defaultSize="0" autoPict="0">
                <anchor moveWithCells="1">
                  <from>
                    <xdr:col>1</xdr:col>
                    <xdr:colOff>133350</xdr:colOff>
                    <xdr:row>131</xdr:row>
                    <xdr:rowOff>152400</xdr:rowOff>
                  </from>
                  <to>
                    <xdr:col>2</xdr:col>
                    <xdr:colOff>228600</xdr:colOff>
                    <xdr:row>131</xdr:row>
                    <xdr:rowOff>514350</xdr:rowOff>
                  </to>
                </anchor>
              </controlPr>
            </control>
          </mc:Choice>
        </mc:AlternateContent>
        <mc:AlternateContent xmlns:mc="http://schemas.openxmlformats.org/markup-compatibility/2006">
          <mc:Choice Requires="x14">
            <control shapeId="100533" r:id="rId28" name="Check Box 181">
              <controlPr defaultSize="0" autoPict="0">
                <anchor moveWithCells="1">
                  <from>
                    <xdr:col>1</xdr:col>
                    <xdr:colOff>95250</xdr:colOff>
                    <xdr:row>122</xdr:row>
                    <xdr:rowOff>133350</xdr:rowOff>
                  </from>
                  <to>
                    <xdr:col>2</xdr:col>
                    <xdr:colOff>180975</xdr:colOff>
                    <xdr:row>122</xdr:row>
                    <xdr:rowOff>495300</xdr:rowOff>
                  </to>
                </anchor>
              </controlPr>
            </control>
          </mc:Choice>
        </mc:AlternateContent>
        <mc:AlternateContent xmlns:mc="http://schemas.openxmlformats.org/markup-compatibility/2006">
          <mc:Choice Requires="x14">
            <control shapeId="100534" r:id="rId29" name="Check Box 182">
              <controlPr defaultSize="0" autoPict="0">
                <anchor moveWithCells="1">
                  <from>
                    <xdr:col>5</xdr:col>
                    <xdr:colOff>95250</xdr:colOff>
                    <xdr:row>122</xdr:row>
                    <xdr:rowOff>142875</xdr:rowOff>
                  </from>
                  <to>
                    <xdr:col>5</xdr:col>
                    <xdr:colOff>504825</xdr:colOff>
                    <xdr:row>122</xdr:row>
                    <xdr:rowOff>504825</xdr:rowOff>
                  </to>
                </anchor>
              </controlPr>
            </control>
          </mc:Choice>
        </mc:AlternateContent>
        <mc:AlternateContent xmlns:mc="http://schemas.openxmlformats.org/markup-compatibility/2006">
          <mc:Choice Requires="x14">
            <control shapeId="100554" r:id="rId30" name="Check Box 202">
              <controlPr defaultSize="0" autoPict="0">
                <anchor moveWithCells="1">
                  <from>
                    <xdr:col>6</xdr:col>
                    <xdr:colOff>66675</xdr:colOff>
                    <xdr:row>159</xdr:row>
                    <xdr:rowOff>304800</xdr:rowOff>
                  </from>
                  <to>
                    <xdr:col>7</xdr:col>
                    <xdr:colOff>57150</xdr:colOff>
                    <xdr:row>160</xdr:row>
                    <xdr:rowOff>133350</xdr:rowOff>
                  </to>
                </anchor>
              </controlPr>
            </control>
          </mc:Choice>
        </mc:AlternateContent>
        <mc:AlternateContent xmlns:mc="http://schemas.openxmlformats.org/markup-compatibility/2006">
          <mc:Choice Requires="x14">
            <control shapeId="100555" r:id="rId31" name="Check Box 203">
              <controlPr defaultSize="0" autoPict="0">
                <anchor moveWithCells="1">
                  <from>
                    <xdr:col>10</xdr:col>
                    <xdr:colOff>666750</xdr:colOff>
                    <xdr:row>159</xdr:row>
                    <xdr:rowOff>228600</xdr:rowOff>
                  </from>
                  <to>
                    <xdr:col>11</xdr:col>
                    <xdr:colOff>419100</xdr:colOff>
                    <xdr:row>160</xdr:row>
                    <xdr:rowOff>133350</xdr:rowOff>
                  </to>
                </anchor>
              </controlPr>
            </control>
          </mc:Choice>
        </mc:AlternateContent>
        <mc:AlternateContent xmlns:mc="http://schemas.openxmlformats.org/markup-compatibility/2006">
          <mc:Choice Requires="x14">
            <control shapeId="100556" r:id="rId32" name="Check Box 204">
              <controlPr defaultSize="0" autoPict="0">
                <anchor moveWithCells="1">
                  <from>
                    <xdr:col>6</xdr:col>
                    <xdr:colOff>57150</xdr:colOff>
                    <xdr:row>161</xdr:row>
                    <xdr:rowOff>342900</xdr:rowOff>
                  </from>
                  <to>
                    <xdr:col>7</xdr:col>
                    <xdr:colOff>38100</xdr:colOff>
                    <xdr:row>162</xdr:row>
                    <xdr:rowOff>133350</xdr:rowOff>
                  </to>
                </anchor>
              </controlPr>
            </control>
          </mc:Choice>
        </mc:AlternateContent>
        <mc:AlternateContent xmlns:mc="http://schemas.openxmlformats.org/markup-compatibility/2006">
          <mc:Choice Requires="x14">
            <control shapeId="100557" r:id="rId33" name="Check Box 205">
              <controlPr defaultSize="0" autoPict="0">
                <anchor moveWithCells="1">
                  <from>
                    <xdr:col>10</xdr:col>
                    <xdr:colOff>638175</xdr:colOff>
                    <xdr:row>161</xdr:row>
                    <xdr:rowOff>238125</xdr:rowOff>
                  </from>
                  <to>
                    <xdr:col>11</xdr:col>
                    <xdr:colOff>400050</xdr:colOff>
                    <xdr:row>162</xdr:row>
                    <xdr:rowOff>133350</xdr:rowOff>
                  </to>
                </anchor>
              </controlPr>
            </control>
          </mc:Choice>
        </mc:AlternateContent>
        <mc:AlternateContent xmlns:mc="http://schemas.openxmlformats.org/markup-compatibility/2006">
          <mc:Choice Requires="x14">
            <control shapeId="100558" r:id="rId34" name="Check Box 206">
              <controlPr defaultSize="0" autoPict="0">
                <anchor moveWithCells="1">
                  <from>
                    <xdr:col>6</xdr:col>
                    <xdr:colOff>66675</xdr:colOff>
                    <xdr:row>163</xdr:row>
                    <xdr:rowOff>238125</xdr:rowOff>
                  </from>
                  <to>
                    <xdr:col>6</xdr:col>
                    <xdr:colOff>390525</xdr:colOff>
                    <xdr:row>163</xdr:row>
                    <xdr:rowOff>400050</xdr:rowOff>
                  </to>
                </anchor>
              </controlPr>
            </control>
          </mc:Choice>
        </mc:AlternateContent>
        <mc:AlternateContent xmlns:mc="http://schemas.openxmlformats.org/markup-compatibility/2006">
          <mc:Choice Requires="x14">
            <control shapeId="100559" r:id="rId35" name="Check Box 207">
              <controlPr defaultSize="0" autoPict="0">
                <anchor moveWithCells="1">
                  <from>
                    <xdr:col>10</xdr:col>
                    <xdr:colOff>638175</xdr:colOff>
                    <xdr:row>163</xdr:row>
                    <xdr:rowOff>247650</xdr:rowOff>
                  </from>
                  <to>
                    <xdr:col>11</xdr:col>
                    <xdr:colOff>400050</xdr:colOff>
                    <xdr:row>163</xdr:row>
                    <xdr:rowOff>419100</xdr:rowOff>
                  </to>
                </anchor>
              </controlPr>
            </control>
          </mc:Choice>
        </mc:AlternateContent>
        <mc:AlternateContent xmlns:mc="http://schemas.openxmlformats.org/markup-compatibility/2006">
          <mc:Choice Requires="x14">
            <control shapeId="100563" r:id="rId36" name="Check Box 211">
              <controlPr defaultSize="0" autoPict="0">
                <anchor moveWithCells="1">
                  <from>
                    <xdr:col>2</xdr:col>
                    <xdr:colOff>400050</xdr:colOff>
                    <xdr:row>56</xdr:row>
                    <xdr:rowOff>0</xdr:rowOff>
                  </from>
                  <to>
                    <xdr:col>3</xdr:col>
                    <xdr:colOff>523875</xdr:colOff>
                    <xdr:row>56</xdr:row>
                    <xdr:rowOff>152400</xdr:rowOff>
                  </to>
                </anchor>
              </controlPr>
            </control>
          </mc:Choice>
        </mc:AlternateContent>
        <mc:AlternateContent xmlns:mc="http://schemas.openxmlformats.org/markup-compatibility/2006">
          <mc:Choice Requires="x14">
            <control shapeId="100564" r:id="rId37" name="Check Box 212">
              <controlPr defaultSize="0" autoPict="0">
                <anchor moveWithCells="1">
                  <from>
                    <xdr:col>7</xdr:col>
                    <xdr:colOff>0</xdr:colOff>
                    <xdr:row>56</xdr:row>
                    <xdr:rowOff>0</xdr:rowOff>
                  </from>
                  <to>
                    <xdr:col>7</xdr:col>
                    <xdr:colOff>161925</xdr:colOff>
                    <xdr:row>56</xdr:row>
                    <xdr:rowOff>152400</xdr:rowOff>
                  </to>
                </anchor>
              </controlPr>
            </control>
          </mc:Choice>
        </mc:AlternateContent>
        <mc:AlternateContent xmlns:mc="http://schemas.openxmlformats.org/markup-compatibility/2006">
          <mc:Choice Requires="x14">
            <control shapeId="100565" r:id="rId38" name="Check Box 213">
              <controlPr defaultSize="0" autoPict="0">
                <anchor moveWithCells="1">
                  <from>
                    <xdr:col>10</xdr:col>
                    <xdr:colOff>57150</xdr:colOff>
                    <xdr:row>56</xdr:row>
                    <xdr:rowOff>0</xdr:rowOff>
                  </from>
                  <to>
                    <xdr:col>10</xdr:col>
                    <xdr:colOff>285750</xdr:colOff>
                    <xdr:row>56</xdr:row>
                    <xdr:rowOff>152400</xdr:rowOff>
                  </to>
                </anchor>
              </controlPr>
            </control>
          </mc:Choice>
        </mc:AlternateContent>
        <mc:AlternateContent xmlns:mc="http://schemas.openxmlformats.org/markup-compatibility/2006">
          <mc:Choice Requires="x14">
            <control shapeId="100566" r:id="rId39" name="Check Box 214">
              <controlPr defaultSize="0" autoPict="0">
                <anchor moveWithCells="1">
                  <from>
                    <xdr:col>12</xdr:col>
                    <xdr:colOff>47625</xdr:colOff>
                    <xdr:row>56</xdr:row>
                    <xdr:rowOff>0</xdr:rowOff>
                  </from>
                  <to>
                    <xdr:col>12</xdr:col>
                    <xdr:colOff>314325</xdr:colOff>
                    <xdr:row>56</xdr:row>
                    <xdr:rowOff>152400</xdr:rowOff>
                  </to>
                </anchor>
              </controlPr>
            </control>
          </mc:Choice>
        </mc:AlternateContent>
        <mc:AlternateContent xmlns:mc="http://schemas.openxmlformats.org/markup-compatibility/2006">
          <mc:Choice Requires="x14">
            <control shapeId="100567" r:id="rId40" name="Check Box 215">
              <controlPr defaultSize="0" autoPict="0">
                <anchor moveWithCells="1">
                  <from>
                    <xdr:col>2</xdr:col>
                    <xdr:colOff>38100</xdr:colOff>
                    <xdr:row>13</xdr:row>
                    <xdr:rowOff>0</xdr:rowOff>
                  </from>
                  <to>
                    <xdr:col>2</xdr:col>
                    <xdr:colOff>209550</xdr:colOff>
                    <xdr:row>14</xdr:row>
                    <xdr:rowOff>38100</xdr:rowOff>
                  </to>
                </anchor>
              </controlPr>
            </control>
          </mc:Choice>
        </mc:AlternateContent>
        <mc:AlternateContent xmlns:mc="http://schemas.openxmlformats.org/markup-compatibility/2006">
          <mc:Choice Requires="x14">
            <control shapeId="100569" r:id="rId41" name="Check Box 217">
              <controlPr defaultSize="0" autoPict="0">
                <anchor moveWithCells="1">
                  <from>
                    <xdr:col>12</xdr:col>
                    <xdr:colOff>238125</xdr:colOff>
                    <xdr:row>190</xdr:row>
                    <xdr:rowOff>0</xdr:rowOff>
                  </from>
                  <to>
                    <xdr:col>12</xdr:col>
                    <xdr:colOff>542925</xdr:colOff>
                    <xdr:row>190</xdr:row>
                    <xdr:rowOff>133350</xdr:rowOff>
                  </to>
                </anchor>
              </controlPr>
            </control>
          </mc:Choice>
        </mc:AlternateContent>
        <mc:AlternateContent xmlns:mc="http://schemas.openxmlformats.org/markup-compatibility/2006">
          <mc:Choice Requires="x14">
            <control shapeId="100570" r:id="rId42" name="Check Box 218">
              <controlPr defaultSize="0" autoPict="0">
                <anchor moveWithCells="1">
                  <from>
                    <xdr:col>12</xdr:col>
                    <xdr:colOff>238125</xdr:colOff>
                    <xdr:row>192</xdr:row>
                    <xdr:rowOff>0</xdr:rowOff>
                  </from>
                  <to>
                    <xdr:col>12</xdr:col>
                    <xdr:colOff>438150</xdr:colOff>
                    <xdr:row>192</xdr:row>
                    <xdr:rowOff>152400</xdr:rowOff>
                  </to>
                </anchor>
              </controlPr>
            </control>
          </mc:Choice>
        </mc:AlternateContent>
        <mc:AlternateContent xmlns:mc="http://schemas.openxmlformats.org/markup-compatibility/2006">
          <mc:Choice Requires="x14">
            <control shapeId="100581" r:id="rId43" name="Check Box 229">
              <controlPr defaultSize="0" autoPict="0">
                <anchor>
                  <from>
                    <xdr:col>0</xdr:col>
                    <xdr:colOff>0</xdr:colOff>
                    <xdr:row>0</xdr:row>
                    <xdr:rowOff>0</xdr:rowOff>
                  </from>
                  <to>
                    <xdr:col>0</xdr:col>
                    <xdr:colOff>0</xdr:colOff>
                    <xdr:row>0</xdr:row>
                    <xdr:rowOff>0</xdr:rowOff>
                  </to>
                </anchor>
              </controlPr>
            </control>
          </mc:Choice>
        </mc:AlternateContent>
        <mc:AlternateContent xmlns:mc="http://schemas.openxmlformats.org/markup-compatibility/2006">
          <mc:Choice Requires="x14">
            <control shapeId="100599" r:id="rId44" name="Check Box 247">
              <controlPr defaultSize="0" autoPict="0">
                <anchor moveWithCells="1">
                  <from>
                    <xdr:col>9</xdr:col>
                    <xdr:colOff>200025</xdr:colOff>
                    <xdr:row>43</xdr:row>
                    <xdr:rowOff>0</xdr:rowOff>
                  </from>
                  <to>
                    <xdr:col>10</xdr:col>
                    <xdr:colOff>95250</xdr:colOff>
                    <xdr:row>43</xdr:row>
                    <xdr:rowOff>200025</xdr:rowOff>
                  </to>
                </anchor>
              </controlPr>
            </control>
          </mc:Choice>
        </mc:AlternateContent>
        <mc:AlternateContent xmlns:mc="http://schemas.openxmlformats.org/markup-compatibility/2006">
          <mc:Choice Requires="x14">
            <control shapeId="100600" r:id="rId45" name="Check Box 248">
              <controlPr defaultSize="0" autoPict="0">
                <anchor moveWithCells="1">
                  <from>
                    <xdr:col>10</xdr:col>
                    <xdr:colOff>542925</xdr:colOff>
                    <xdr:row>43</xdr:row>
                    <xdr:rowOff>0</xdr:rowOff>
                  </from>
                  <to>
                    <xdr:col>11</xdr:col>
                    <xdr:colOff>142875</xdr:colOff>
                    <xdr:row>43</xdr:row>
                    <xdr:rowOff>200025</xdr:rowOff>
                  </to>
                </anchor>
              </controlPr>
            </control>
          </mc:Choice>
        </mc:AlternateContent>
        <mc:AlternateContent xmlns:mc="http://schemas.openxmlformats.org/markup-compatibility/2006">
          <mc:Choice Requires="x14">
            <control shapeId="100601" r:id="rId46" name="Check Box 249">
              <controlPr defaultSize="0" autoPict="0">
                <anchor moveWithCells="1">
                  <from>
                    <xdr:col>9</xdr:col>
                    <xdr:colOff>180975</xdr:colOff>
                    <xdr:row>43</xdr:row>
                    <xdr:rowOff>381000</xdr:rowOff>
                  </from>
                  <to>
                    <xdr:col>10</xdr:col>
                    <xdr:colOff>76200</xdr:colOff>
                    <xdr:row>44</xdr:row>
                    <xdr:rowOff>200025</xdr:rowOff>
                  </to>
                </anchor>
              </controlPr>
            </control>
          </mc:Choice>
        </mc:AlternateContent>
        <mc:AlternateContent xmlns:mc="http://schemas.openxmlformats.org/markup-compatibility/2006">
          <mc:Choice Requires="x14">
            <control shapeId="100602" r:id="rId47" name="Check Box 250">
              <controlPr defaultSize="0" autoPict="0">
                <anchor moveWithCells="1">
                  <from>
                    <xdr:col>10</xdr:col>
                    <xdr:colOff>542925</xdr:colOff>
                    <xdr:row>44</xdr:row>
                    <xdr:rowOff>0</xdr:rowOff>
                  </from>
                  <to>
                    <xdr:col>11</xdr:col>
                    <xdr:colOff>142875</xdr:colOff>
                    <xdr:row>44</xdr:row>
                    <xdr:rowOff>200025</xdr:rowOff>
                  </to>
                </anchor>
              </controlPr>
            </control>
          </mc:Choice>
        </mc:AlternateContent>
        <mc:AlternateContent xmlns:mc="http://schemas.openxmlformats.org/markup-compatibility/2006">
          <mc:Choice Requires="x14">
            <control shapeId="100603" r:id="rId48" name="Check Box 251">
              <controlPr defaultSize="0" autoPict="0">
                <anchor moveWithCells="1">
                  <from>
                    <xdr:col>9</xdr:col>
                    <xdr:colOff>171450</xdr:colOff>
                    <xdr:row>44</xdr:row>
                    <xdr:rowOff>381000</xdr:rowOff>
                  </from>
                  <to>
                    <xdr:col>10</xdr:col>
                    <xdr:colOff>66675</xdr:colOff>
                    <xdr:row>45</xdr:row>
                    <xdr:rowOff>200025</xdr:rowOff>
                  </to>
                </anchor>
              </controlPr>
            </control>
          </mc:Choice>
        </mc:AlternateContent>
        <mc:AlternateContent xmlns:mc="http://schemas.openxmlformats.org/markup-compatibility/2006">
          <mc:Choice Requires="x14">
            <control shapeId="100604" r:id="rId49" name="Check Box 252">
              <controlPr defaultSize="0" autoPict="0">
                <anchor moveWithCells="1">
                  <from>
                    <xdr:col>10</xdr:col>
                    <xdr:colOff>561975</xdr:colOff>
                    <xdr:row>44</xdr:row>
                    <xdr:rowOff>381000</xdr:rowOff>
                  </from>
                  <to>
                    <xdr:col>11</xdr:col>
                    <xdr:colOff>161925</xdr:colOff>
                    <xdr:row>45</xdr:row>
                    <xdr:rowOff>200025</xdr:rowOff>
                  </to>
                </anchor>
              </controlPr>
            </control>
          </mc:Choice>
        </mc:AlternateContent>
        <mc:AlternateContent xmlns:mc="http://schemas.openxmlformats.org/markup-compatibility/2006">
          <mc:Choice Requires="x14">
            <control shapeId="100605" r:id="rId50" name="Check Box 253">
              <controlPr defaultSize="0" autoPict="0">
                <anchor moveWithCells="1">
                  <from>
                    <xdr:col>9</xdr:col>
                    <xdr:colOff>190500</xdr:colOff>
                    <xdr:row>46</xdr:row>
                    <xdr:rowOff>0</xdr:rowOff>
                  </from>
                  <to>
                    <xdr:col>10</xdr:col>
                    <xdr:colOff>76200</xdr:colOff>
                    <xdr:row>46</xdr:row>
                    <xdr:rowOff>200025</xdr:rowOff>
                  </to>
                </anchor>
              </controlPr>
            </control>
          </mc:Choice>
        </mc:AlternateContent>
        <mc:AlternateContent xmlns:mc="http://schemas.openxmlformats.org/markup-compatibility/2006">
          <mc:Choice Requires="x14">
            <control shapeId="100606" r:id="rId51" name="Check Box 254">
              <controlPr defaultSize="0" autoPict="0">
                <anchor moveWithCells="1">
                  <from>
                    <xdr:col>10</xdr:col>
                    <xdr:colOff>523875</xdr:colOff>
                    <xdr:row>46</xdr:row>
                    <xdr:rowOff>19050</xdr:rowOff>
                  </from>
                  <to>
                    <xdr:col>11</xdr:col>
                    <xdr:colOff>123825</xdr:colOff>
                    <xdr:row>46</xdr:row>
                    <xdr:rowOff>219075</xdr:rowOff>
                  </to>
                </anchor>
              </controlPr>
            </control>
          </mc:Choice>
        </mc:AlternateContent>
        <mc:AlternateContent xmlns:mc="http://schemas.openxmlformats.org/markup-compatibility/2006">
          <mc:Choice Requires="x14">
            <control shapeId="100609" r:id="rId52" name="Check Box 257">
              <controlPr defaultSize="0" autoPict="0">
                <anchor moveWithCells="1">
                  <from>
                    <xdr:col>9</xdr:col>
                    <xdr:colOff>190500</xdr:colOff>
                    <xdr:row>47</xdr:row>
                    <xdr:rowOff>0</xdr:rowOff>
                  </from>
                  <to>
                    <xdr:col>10</xdr:col>
                    <xdr:colOff>76200</xdr:colOff>
                    <xdr:row>47</xdr:row>
                    <xdr:rowOff>200025</xdr:rowOff>
                  </to>
                </anchor>
              </controlPr>
            </control>
          </mc:Choice>
        </mc:AlternateContent>
        <mc:AlternateContent xmlns:mc="http://schemas.openxmlformats.org/markup-compatibility/2006">
          <mc:Choice Requires="x14">
            <control shapeId="100610" r:id="rId53" name="Check Box 258">
              <controlPr defaultSize="0" autoPict="0">
                <anchor moveWithCells="1">
                  <from>
                    <xdr:col>10</xdr:col>
                    <xdr:colOff>523875</xdr:colOff>
                    <xdr:row>47</xdr:row>
                    <xdr:rowOff>19050</xdr:rowOff>
                  </from>
                  <to>
                    <xdr:col>11</xdr:col>
                    <xdr:colOff>123825</xdr:colOff>
                    <xdr:row>47</xdr:row>
                    <xdr:rowOff>219075</xdr:rowOff>
                  </to>
                </anchor>
              </controlPr>
            </control>
          </mc:Choice>
        </mc:AlternateContent>
        <mc:AlternateContent xmlns:mc="http://schemas.openxmlformats.org/markup-compatibility/2006">
          <mc:Choice Requires="x14">
            <control shapeId="100611" r:id="rId54" name="Check Box 259">
              <controlPr defaultSize="0" autoPict="0">
                <anchor moveWithCells="1">
                  <from>
                    <xdr:col>9</xdr:col>
                    <xdr:colOff>190500</xdr:colOff>
                    <xdr:row>48</xdr:row>
                    <xdr:rowOff>0</xdr:rowOff>
                  </from>
                  <to>
                    <xdr:col>10</xdr:col>
                    <xdr:colOff>76200</xdr:colOff>
                    <xdr:row>48</xdr:row>
                    <xdr:rowOff>200025</xdr:rowOff>
                  </to>
                </anchor>
              </controlPr>
            </control>
          </mc:Choice>
        </mc:AlternateContent>
        <mc:AlternateContent xmlns:mc="http://schemas.openxmlformats.org/markup-compatibility/2006">
          <mc:Choice Requires="x14">
            <control shapeId="100612" r:id="rId55" name="Check Box 260">
              <controlPr defaultSize="0" autoPict="0">
                <anchor moveWithCells="1">
                  <from>
                    <xdr:col>10</xdr:col>
                    <xdr:colOff>523875</xdr:colOff>
                    <xdr:row>48</xdr:row>
                    <xdr:rowOff>19050</xdr:rowOff>
                  </from>
                  <to>
                    <xdr:col>11</xdr:col>
                    <xdr:colOff>123825</xdr:colOff>
                    <xdr:row>48</xdr:row>
                    <xdr:rowOff>219075</xdr:rowOff>
                  </to>
                </anchor>
              </controlPr>
            </control>
          </mc:Choice>
        </mc:AlternateContent>
        <mc:AlternateContent xmlns:mc="http://schemas.openxmlformats.org/markup-compatibility/2006">
          <mc:Choice Requires="x14">
            <control shapeId="100613" r:id="rId56" name="Check Box 261">
              <controlPr defaultSize="0" autoPict="0">
                <anchor moveWithCells="1">
                  <from>
                    <xdr:col>4</xdr:col>
                    <xdr:colOff>523875</xdr:colOff>
                    <xdr:row>99</xdr:row>
                    <xdr:rowOff>400050</xdr:rowOff>
                  </from>
                  <to>
                    <xdr:col>5</xdr:col>
                    <xdr:colOff>247650</xdr:colOff>
                    <xdr:row>99</xdr:row>
                    <xdr:rowOff>638175</xdr:rowOff>
                  </to>
                </anchor>
              </controlPr>
            </control>
          </mc:Choice>
        </mc:AlternateContent>
        <mc:AlternateContent xmlns:mc="http://schemas.openxmlformats.org/markup-compatibility/2006">
          <mc:Choice Requires="x14">
            <control shapeId="100615" r:id="rId57" name="Check Box 263">
              <controlPr defaultSize="0" autoPict="0">
                <anchor moveWithCells="1">
                  <from>
                    <xdr:col>10</xdr:col>
                    <xdr:colOff>609600</xdr:colOff>
                    <xdr:row>38</xdr:row>
                    <xdr:rowOff>9525</xdr:rowOff>
                  </from>
                  <to>
                    <xdr:col>11</xdr:col>
                    <xdr:colOff>209550</xdr:colOff>
                    <xdr:row>38</xdr:row>
                    <xdr:rowOff>209550</xdr:rowOff>
                  </to>
                </anchor>
              </controlPr>
            </control>
          </mc:Choice>
        </mc:AlternateContent>
        <mc:AlternateContent xmlns:mc="http://schemas.openxmlformats.org/markup-compatibility/2006">
          <mc:Choice Requires="x14">
            <control shapeId="100616" r:id="rId58" name="Check Box 264">
              <controlPr defaultSize="0" autoPict="0">
                <anchor moveWithCells="1">
                  <from>
                    <xdr:col>11</xdr:col>
                    <xdr:colOff>523875</xdr:colOff>
                    <xdr:row>38</xdr:row>
                    <xdr:rowOff>9525</xdr:rowOff>
                  </from>
                  <to>
                    <xdr:col>12</xdr:col>
                    <xdr:colOff>266700</xdr:colOff>
                    <xdr:row>38</xdr:row>
                    <xdr:rowOff>209550</xdr:rowOff>
                  </to>
                </anchor>
              </controlPr>
            </control>
          </mc:Choice>
        </mc:AlternateContent>
        <mc:AlternateContent xmlns:mc="http://schemas.openxmlformats.org/markup-compatibility/2006">
          <mc:Choice Requires="x14">
            <control shapeId="100617" r:id="rId59" name="Check Box 265">
              <controlPr defaultSize="0" autoPict="0">
                <anchor moveWithCells="1">
                  <from>
                    <xdr:col>10</xdr:col>
                    <xdr:colOff>609600</xdr:colOff>
                    <xdr:row>39</xdr:row>
                    <xdr:rowOff>9525</xdr:rowOff>
                  </from>
                  <to>
                    <xdr:col>11</xdr:col>
                    <xdr:colOff>209550</xdr:colOff>
                    <xdr:row>39</xdr:row>
                    <xdr:rowOff>209550</xdr:rowOff>
                  </to>
                </anchor>
              </controlPr>
            </control>
          </mc:Choice>
        </mc:AlternateContent>
        <mc:AlternateContent xmlns:mc="http://schemas.openxmlformats.org/markup-compatibility/2006">
          <mc:Choice Requires="x14">
            <control shapeId="100618" r:id="rId60" name="Check Box 266">
              <controlPr defaultSize="0" autoPict="0">
                <anchor moveWithCells="1">
                  <from>
                    <xdr:col>11</xdr:col>
                    <xdr:colOff>514350</xdr:colOff>
                    <xdr:row>39</xdr:row>
                    <xdr:rowOff>0</xdr:rowOff>
                  </from>
                  <to>
                    <xdr:col>12</xdr:col>
                    <xdr:colOff>257175</xdr:colOff>
                    <xdr:row>39</xdr:row>
                    <xdr:rowOff>200025</xdr:rowOff>
                  </to>
                </anchor>
              </controlPr>
            </control>
          </mc:Choice>
        </mc:AlternateContent>
        <mc:AlternateContent xmlns:mc="http://schemas.openxmlformats.org/markup-compatibility/2006">
          <mc:Choice Requires="x14">
            <control shapeId="100624" r:id="rId61" name="Check Box 272">
              <controlPr defaultSize="0" autoPict="0">
                <anchor moveWithCells="1">
                  <from>
                    <xdr:col>10</xdr:col>
                    <xdr:colOff>523875</xdr:colOff>
                    <xdr:row>41</xdr:row>
                    <xdr:rowOff>285750</xdr:rowOff>
                  </from>
                  <to>
                    <xdr:col>11</xdr:col>
                    <xdr:colOff>123825</xdr:colOff>
                    <xdr:row>42</xdr:row>
                    <xdr:rowOff>190500</xdr:rowOff>
                  </to>
                </anchor>
              </controlPr>
            </control>
          </mc:Choice>
        </mc:AlternateContent>
        <mc:AlternateContent xmlns:mc="http://schemas.openxmlformats.org/markup-compatibility/2006">
          <mc:Choice Requires="x14">
            <control shapeId="100625" r:id="rId62" name="Check Box 273">
              <controlPr defaultSize="0" autoPict="0">
                <anchor moveWithCells="1">
                  <from>
                    <xdr:col>9</xdr:col>
                    <xdr:colOff>19050</xdr:colOff>
                    <xdr:row>42</xdr:row>
                    <xdr:rowOff>9525</xdr:rowOff>
                  </from>
                  <to>
                    <xdr:col>9</xdr:col>
                    <xdr:colOff>447675</xdr:colOff>
                    <xdr:row>42</xdr:row>
                    <xdr:rowOff>209550</xdr:rowOff>
                  </to>
                </anchor>
              </controlPr>
            </control>
          </mc:Choice>
        </mc:AlternateContent>
        <mc:AlternateContent xmlns:mc="http://schemas.openxmlformats.org/markup-compatibility/2006">
          <mc:Choice Requires="x14">
            <control shapeId="100627" r:id="rId63" name="Check Box 275">
              <controlPr defaultSize="0" autoPict="0">
                <anchor moveWithCells="1">
                  <from>
                    <xdr:col>10</xdr:col>
                    <xdr:colOff>542925</xdr:colOff>
                    <xdr:row>43</xdr:row>
                    <xdr:rowOff>0</xdr:rowOff>
                  </from>
                  <to>
                    <xdr:col>11</xdr:col>
                    <xdr:colOff>142875</xdr:colOff>
                    <xdr:row>43</xdr:row>
                    <xdr:rowOff>200025</xdr:rowOff>
                  </to>
                </anchor>
              </controlPr>
            </control>
          </mc:Choice>
        </mc:AlternateContent>
        <mc:AlternateContent xmlns:mc="http://schemas.openxmlformats.org/markup-compatibility/2006">
          <mc:Choice Requires="x14">
            <control shapeId="100632" r:id="rId64" name="Check Box 280">
              <controlPr defaultSize="0" autoPict="0">
                <anchor moveWithCells="1">
                  <from>
                    <xdr:col>9</xdr:col>
                    <xdr:colOff>190500</xdr:colOff>
                    <xdr:row>46</xdr:row>
                    <xdr:rowOff>0</xdr:rowOff>
                  </from>
                  <to>
                    <xdr:col>10</xdr:col>
                    <xdr:colOff>76200</xdr:colOff>
                    <xdr:row>46</xdr:row>
                    <xdr:rowOff>200025</xdr:rowOff>
                  </to>
                </anchor>
              </controlPr>
            </control>
          </mc:Choice>
        </mc:AlternateContent>
        <mc:AlternateContent xmlns:mc="http://schemas.openxmlformats.org/markup-compatibility/2006">
          <mc:Choice Requires="x14">
            <control shapeId="100633" r:id="rId65" name="Check Box 281">
              <controlPr defaultSize="0" autoPict="0">
                <anchor moveWithCells="1">
                  <from>
                    <xdr:col>10</xdr:col>
                    <xdr:colOff>523875</xdr:colOff>
                    <xdr:row>46</xdr:row>
                    <xdr:rowOff>19050</xdr:rowOff>
                  </from>
                  <to>
                    <xdr:col>11</xdr:col>
                    <xdr:colOff>123825</xdr:colOff>
                    <xdr:row>46</xdr:row>
                    <xdr:rowOff>219075</xdr:rowOff>
                  </to>
                </anchor>
              </controlPr>
            </control>
          </mc:Choice>
        </mc:AlternateContent>
        <mc:AlternateContent xmlns:mc="http://schemas.openxmlformats.org/markup-compatibility/2006">
          <mc:Choice Requires="x14">
            <control shapeId="100634" r:id="rId66" name="Check Box 282">
              <controlPr defaultSize="0" autoPict="0">
                <anchor moveWithCells="1">
                  <from>
                    <xdr:col>9</xdr:col>
                    <xdr:colOff>190500</xdr:colOff>
                    <xdr:row>47</xdr:row>
                    <xdr:rowOff>0</xdr:rowOff>
                  </from>
                  <to>
                    <xdr:col>10</xdr:col>
                    <xdr:colOff>76200</xdr:colOff>
                    <xdr:row>47</xdr:row>
                    <xdr:rowOff>200025</xdr:rowOff>
                  </to>
                </anchor>
              </controlPr>
            </control>
          </mc:Choice>
        </mc:AlternateContent>
        <mc:AlternateContent xmlns:mc="http://schemas.openxmlformats.org/markup-compatibility/2006">
          <mc:Choice Requires="x14">
            <control shapeId="100635" r:id="rId67" name="Check Box 283">
              <controlPr defaultSize="0" autoPict="0">
                <anchor moveWithCells="1">
                  <from>
                    <xdr:col>10</xdr:col>
                    <xdr:colOff>523875</xdr:colOff>
                    <xdr:row>47</xdr:row>
                    <xdr:rowOff>19050</xdr:rowOff>
                  </from>
                  <to>
                    <xdr:col>11</xdr:col>
                    <xdr:colOff>123825</xdr:colOff>
                    <xdr:row>47</xdr:row>
                    <xdr:rowOff>219075</xdr:rowOff>
                  </to>
                </anchor>
              </controlPr>
            </control>
          </mc:Choice>
        </mc:AlternateContent>
        <mc:AlternateContent xmlns:mc="http://schemas.openxmlformats.org/markup-compatibility/2006">
          <mc:Choice Requires="x14">
            <control shapeId="100636" r:id="rId68" name="Check Box 284">
              <controlPr defaultSize="0" autoPict="0">
                <anchor moveWithCells="1">
                  <from>
                    <xdr:col>8</xdr:col>
                    <xdr:colOff>923925</xdr:colOff>
                    <xdr:row>37</xdr:row>
                    <xdr:rowOff>85725</xdr:rowOff>
                  </from>
                  <to>
                    <xdr:col>9</xdr:col>
                    <xdr:colOff>390525</xdr:colOff>
                    <xdr:row>37</xdr:row>
                    <xdr:rowOff>285750</xdr:rowOff>
                  </to>
                </anchor>
              </controlPr>
            </control>
          </mc:Choice>
        </mc:AlternateContent>
        <mc:AlternateContent xmlns:mc="http://schemas.openxmlformats.org/markup-compatibility/2006">
          <mc:Choice Requires="x14">
            <control shapeId="100640" r:id="rId69" name="Check Box 288">
              <controlPr defaultSize="0" autoPict="0">
                <anchor moveWithCells="1">
                  <from>
                    <xdr:col>11</xdr:col>
                    <xdr:colOff>285750</xdr:colOff>
                    <xdr:row>37</xdr:row>
                    <xdr:rowOff>85725</xdr:rowOff>
                  </from>
                  <to>
                    <xdr:col>12</xdr:col>
                    <xdr:colOff>28575</xdr:colOff>
                    <xdr:row>37</xdr:row>
                    <xdr:rowOff>285750</xdr:rowOff>
                  </to>
                </anchor>
              </controlPr>
            </control>
          </mc:Choice>
        </mc:AlternateContent>
        <mc:AlternateContent xmlns:mc="http://schemas.openxmlformats.org/markup-compatibility/2006">
          <mc:Choice Requires="x14">
            <control shapeId="100642" r:id="rId70" name="Check Box 290">
              <controlPr defaultSize="0" autoPict="0">
                <anchor moveWithCells="1">
                  <from>
                    <xdr:col>0</xdr:col>
                    <xdr:colOff>276225</xdr:colOff>
                    <xdr:row>40</xdr:row>
                    <xdr:rowOff>171450</xdr:rowOff>
                  </from>
                  <to>
                    <xdr:col>0</xdr:col>
                    <xdr:colOff>714375</xdr:colOff>
                    <xdr:row>40</xdr:row>
                    <xdr:rowOff>361950</xdr:rowOff>
                  </to>
                </anchor>
              </controlPr>
            </control>
          </mc:Choice>
        </mc:AlternateContent>
        <mc:AlternateContent xmlns:mc="http://schemas.openxmlformats.org/markup-compatibility/2006">
          <mc:Choice Requires="x14">
            <control shapeId="100643" r:id="rId71" name="Check Box 291">
              <controlPr defaultSize="0" autoPict="0">
                <anchor moveWithCells="1">
                  <from>
                    <xdr:col>0</xdr:col>
                    <xdr:colOff>1276350</xdr:colOff>
                    <xdr:row>40</xdr:row>
                    <xdr:rowOff>142875</xdr:rowOff>
                  </from>
                  <to>
                    <xdr:col>2</xdr:col>
                    <xdr:colOff>57150</xdr:colOff>
                    <xdr:row>40</xdr:row>
                    <xdr:rowOff>342900</xdr:rowOff>
                  </to>
                </anchor>
              </controlPr>
            </control>
          </mc:Choice>
        </mc:AlternateContent>
        <mc:AlternateContent xmlns:mc="http://schemas.openxmlformats.org/markup-compatibility/2006">
          <mc:Choice Requires="x14">
            <control shapeId="100644" r:id="rId72" name="Check Box 292">
              <controlPr defaultSize="0" autoPict="0">
                <anchor moveWithCells="1">
                  <from>
                    <xdr:col>10</xdr:col>
                    <xdr:colOff>590550</xdr:colOff>
                    <xdr:row>41</xdr:row>
                    <xdr:rowOff>0</xdr:rowOff>
                  </from>
                  <to>
                    <xdr:col>11</xdr:col>
                    <xdr:colOff>190500</xdr:colOff>
                    <xdr:row>41</xdr:row>
                    <xdr:rowOff>200025</xdr:rowOff>
                  </to>
                </anchor>
              </controlPr>
            </control>
          </mc:Choice>
        </mc:AlternateContent>
        <mc:AlternateContent xmlns:mc="http://schemas.openxmlformats.org/markup-compatibility/2006">
          <mc:Choice Requires="x14">
            <control shapeId="100645" r:id="rId73" name="Check Box 293">
              <controlPr defaultSize="0" autoPict="0">
                <anchor moveWithCells="1">
                  <from>
                    <xdr:col>11</xdr:col>
                    <xdr:colOff>552450</xdr:colOff>
                    <xdr:row>40</xdr:row>
                    <xdr:rowOff>447675</xdr:rowOff>
                  </from>
                  <to>
                    <xdr:col>12</xdr:col>
                    <xdr:colOff>295275</xdr:colOff>
                    <xdr:row>41</xdr:row>
                    <xdr:rowOff>190500</xdr:rowOff>
                  </to>
                </anchor>
              </controlPr>
            </control>
          </mc:Choice>
        </mc:AlternateContent>
        <mc:AlternateContent xmlns:mc="http://schemas.openxmlformats.org/markup-compatibility/2006">
          <mc:Choice Requires="x14">
            <control shapeId="100646" r:id="rId74" name="Check Box 294">
              <controlPr defaultSize="0" autoPict="0">
                <anchor moveWithCells="1">
                  <from>
                    <xdr:col>2</xdr:col>
                    <xdr:colOff>400050</xdr:colOff>
                    <xdr:row>56</xdr:row>
                    <xdr:rowOff>0</xdr:rowOff>
                  </from>
                  <to>
                    <xdr:col>3</xdr:col>
                    <xdr:colOff>295275</xdr:colOff>
                    <xdr:row>56</xdr:row>
                    <xdr:rowOff>152400</xdr:rowOff>
                  </to>
                </anchor>
              </controlPr>
            </control>
          </mc:Choice>
        </mc:AlternateContent>
        <mc:AlternateContent xmlns:mc="http://schemas.openxmlformats.org/markup-compatibility/2006">
          <mc:Choice Requires="x14">
            <control shapeId="100647" r:id="rId75" name="Check Box 295">
              <controlPr defaultSize="0" autoPict="0">
                <anchor moveWithCells="1">
                  <from>
                    <xdr:col>7</xdr:col>
                    <xdr:colOff>0</xdr:colOff>
                    <xdr:row>56</xdr:row>
                    <xdr:rowOff>0</xdr:rowOff>
                  </from>
                  <to>
                    <xdr:col>7</xdr:col>
                    <xdr:colOff>161925</xdr:colOff>
                    <xdr:row>56</xdr:row>
                    <xdr:rowOff>152400</xdr:rowOff>
                  </to>
                </anchor>
              </controlPr>
            </control>
          </mc:Choice>
        </mc:AlternateContent>
        <mc:AlternateContent xmlns:mc="http://schemas.openxmlformats.org/markup-compatibility/2006">
          <mc:Choice Requires="x14">
            <control shapeId="100648" r:id="rId76" name="Check Box 296">
              <controlPr defaultSize="0" autoPict="0">
                <anchor moveWithCells="1">
                  <from>
                    <xdr:col>10</xdr:col>
                    <xdr:colOff>57150</xdr:colOff>
                    <xdr:row>56</xdr:row>
                    <xdr:rowOff>0</xdr:rowOff>
                  </from>
                  <to>
                    <xdr:col>10</xdr:col>
                    <xdr:colOff>285750</xdr:colOff>
                    <xdr:row>56</xdr:row>
                    <xdr:rowOff>152400</xdr:rowOff>
                  </to>
                </anchor>
              </controlPr>
            </control>
          </mc:Choice>
        </mc:AlternateContent>
        <mc:AlternateContent xmlns:mc="http://schemas.openxmlformats.org/markup-compatibility/2006">
          <mc:Choice Requires="x14">
            <control shapeId="100649" r:id="rId77" name="Check Box 297">
              <controlPr defaultSize="0" autoPict="0">
                <anchor moveWithCells="1">
                  <from>
                    <xdr:col>12</xdr:col>
                    <xdr:colOff>47625</xdr:colOff>
                    <xdr:row>56</xdr:row>
                    <xdr:rowOff>0</xdr:rowOff>
                  </from>
                  <to>
                    <xdr:col>12</xdr:col>
                    <xdr:colOff>314325</xdr:colOff>
                    <xdr:row>56</xdr:row>
                    <xdr:rowOff>152400</xdr:rowOff>
                  </to>
                </anchor>
              </controlPr>
            </control>
          </mc:Choice>
        </mc:AlternateContent>
        <mc:AlternateContent xmlns:mc="http://schemas.openxmlformats.org/markup-compatibility/2006">
          <mc:Choice Requires="x14">
            <control shapeId="100650" r:id="rId78" name="Check Box 298">
              <controlPr defaultSize="0" autoPict="0">
                <anchor moveWithCells="1">
                  <from>
                    <xdr:col>12</xdr:col>
                    <xdr:colOff>219075</xdr:colOff>
                    <xdr:row>193</xdr:row>
                    <xdr:rowOff>314325</xdr:rowOff>
                  </from>
                  <to>
                    <xdr:col>12</xdr:col>
                    <xdr:colOff>438150</xdr:colOff>
                    <xdr:row>194</xdr:row>
                    <xdr:rowOff>304800</xdr:rowOff>
                  </to>
                </anchor>
              </controlPr>
            </control>
          </mc:Choice>
        </mc:AlternateContent>
        <mc:AlternateContent xmlns:mc="http://schemas.openxmlformats.org/markup-compatibility/2006">
          <mc:Choice Requires="x14">
            <control shapeId="100651" r:id="rId79" name="Check Box 299">
              <controlPr defaultSize="0" autoPict="0">
                <anchor moveWithCells="1">
                  <from>
                    <xdr:col>12</xdr:col>
                    <xdr:colOff>219075</xdr:colOff>
                    <xdr:row>195</xdr:row>
                    <xdr:rowOff>114300</xdr:rowOff>
                  </from>
                  <to>
                    <xdr:col>12</xdr:col>
                    <xdr:colOff>419100</xdr:colOff>
                    <xdr:row>195</xdr:row>
                    <xdr:rowOff>285750</xdr:rowOff>
                  </to>
                </anchor>
              </controlPr>
            </control>
          </mc:Choice>
        </mc:AlternateContent>
        <mc:AlternateContent xmlns:mc="http://schemas.openxmlformats.org/markup-compatibility/2006">
          <mc:Choice Requires="x14">
            <control shapeId="100652" r:id="rId80" name="Check Box 300">
              <controlPr defaultSize="0" autoPict="0">
                <anchor moveWithCells="1">
                  <from>
                    <xdr:col>12</xdr:col>
                    <xdr:colOff>238125</xdr:colOff>
                    <xdr:row>202</xdr:row>
                    <xdr:rowOff>0</xdr:rowOff>
                  </from>
                  <to>
                    <xdr:col>12</xdr:col>
                    <xdr:colOff>542925</xdr:colOff>
                    <xdr:row>202</xdr:row>
                    <xdr:rowOff>133350</xdr:rowOff>
                  </to>
                </anchor>
              </controlPr>
            </control>
          </mc:Choice>
        </mc:AlternateContent>
        <mc:AlternateContent xmlns:mc="http://schemas.openxmlformats.org/markup-compatibility/2006">
          <mc:Choice Requires="x14">
            <control shapeId="100653" r:id="rId81" name="Check Box 301">
              <controlPr defaultSize="0" autoPict="0">
                <anchor moveWithCells="1">
                  <from>
                    <xdr:col>12</xdr:col>
                    <xdr:colOff>228600</xdr:colOff>
                    <xdr:row>202</xdr:row>
                    <xdr:rowOff>228600</xdr:rowOff>
                  </from>
                  <to>
                    <xdr:col>12</xdr:col>
                    <xdr:colOff>447675</xdr:colOff>
                    <xdr:row>203</xdr:row>
                    <xdr:rowOff>333375</xdr:rowOff>
                  </to>
                </anchor>
              </controlPr>
            </control>
          </mc:Choice>
        </mc:AlternateContent>
        <mc:AlternateContent xmlns:mc="http://schemas.openxmlformats.org/markup-compatibility/2006">
          <mc:Choice Requires="x14">
            <control shapeId="100654" r:id="rId82" name="Check Box 302">
              <controlPr defaultSize="0" autoPict="0">
                <anchor moveWithCells="1">
                  <from>
                    <xdr:col>12</xdr:col>
                    <xdr:colOff>238125</xdr:colOff>
                    <xdr:row>204</xdr:row>
                    <xdr:rowOff>0</xdr:rowOff>
                  </from>
                  <to>
                    <xdr:col>12</xdr:col>
                    <xdr:colOff>438150</xdr:colOff>
                    <xdr:row>204</xdr:row>
                    <xdr:rowOff>152400</xdr:rowOff>
                  </to>
                </anchor>
              </controlPr>
            </control>
          </mc:Choice>
        </mc:AlternateContent>
        <mc:AlternateContent xmlns:mc="http://schemas.openxmlformats.org/markup-compatibility/2006">
          <mc:Choice Requires="x14">
            <control shapeId="100656" r:id="rId83" name="Check Box 304">
              <controlPr defaultSize="0" autoPict="0">
                <anchor moveWithCells="1">
                  <from>
                    <xdr:col>4</xdr:col>
                    <xdr:colOff>523875</xdr:colOff>
                    <xdr:row>99</xdr:row>
                    <xdr:rowOff>76200</xdr:rowOff>
                  </from>
                  <to>
                    <xdr:col>5</xdr:col>
                    <xdr:colOff>428625</xdr:colOff>
                    <xdr:row>99</xdr:row>
                    <xdr:rowOff>609600</xdr:rowOff>
                  </to>
                </anchor>
              </controlPr>
            </control>
          </mc:Choice>
        </mc:AlternateContent>
        <mc:AlternateContent xmlns:mc="http://schemas.openxmlformats.org/markup-compatibility/2006">
          <mc:Choice Requires="x14">
            <control shapeId="100657" r:id="rId84" name="Check Box 305">
              <controlPr defaultSize="0" autoPict="0">
                <anchor moveWithCells="1">
                  <from>
                    <xdr:col>4</xdr:col>
                    <xdr:colOff>285750</xdr:colOff>
                    <xdr:row>100</xdr:row>
                    <xdr:rowOff>0</xdr:rowOff>
                  </from>
                  <to>
                    <xdr:col>5</xdr:col>
                    <xdr:colOff>190500</xdr:colOff>
                    <xdr:row>100</xdr:row>
                    <xdr:rowOff>133350</xdr:rowOff>
                  </to>
                </anchor>
              </controlPr>
            </control>
          </mc:Choice>
        </mc:AlternateContent>
        <mc:AlternateContent xmlns:mc="http://schemas.openxmlformats.org/markup-compatibility/2006">
          <mc:Choice Requires="x14">
            <control shapeId="100658" r:id="rId85" name="Check Box 306">
              <controlPr defaultSize="0" autoPict="0">
                <anchor moveWithCells="1">
                  <from>
                    <xdr:col>4</xdr:col>
                    <xdr:colOff>276225</xdr:colOff>
                    <xdr:row>100</xdr:row>
                    <xdr:rowOff>438150</xdr:rowOff>
                  </from>
                  <to>
                    <xdr:col>4</xdr:col>
                    <xdr:colOff>590550</xdr:colOff>
                    <xdr:row>100</xdr:row>
                    <xdr:rowOff>733425</xdr:rowOff>
                  </to>
                </anchor>
              </controlPr>
            </control>
          </mc:Choice>
        </mc:AlternateContent>
        <mc:AlternateContent xmlns:mc="http://schemas.openxmlformats.org/markup-compatibility/2006">
          <mc:Choice Requires="x14">
            <control shapeId="100659" r:id="rId86" name="Check Box 307">
              <controlPr defaultSize="0" autoPict="0">
                <anchor moveWithCells="1">
                  <from>
                    <xdr:col>4</xdr:col>
                    <xdr:colOff>333375</xdr:colOff>
                    <xdr:row>101</xdr:row>
                    <xdr:rowOff>114300</xdr:rowOff>
                  </from>
                  <to>
                    <xdr:col>5</xdr:col>
                    <xdr:colOff>228600</xdr:colOff>
                    <xdr:row>102</xdr:row>
                    <xdr:rowOff>133350</xdr:rowOff>
                  </to>
                </anchor>
              </controlPr>
            </control>
          </mc:Choice>
        </mc:AlternateContent>
        <mc:AlternateContent xmlns:mc="http://schemas.openxmlformats.org/markup-compatibility/2006">
          <mc:Choice Requires="x14">
            <control shapeId="100660" r:id="rId87" name="Check Box 308">
              <controlPr defaultSize="0" autoPict="0">
                <anchor moveWithCells="1">
                  <from>
                    <xdr:col>4</xdr:col>
                    <xdr:colOff>323850</xdr:colOff>
                    <xdr:row>103</xdr:row>
                    <xdr:rowOff>19050</xdr:rowOff>
                  </from>
                  <to>
                    <xdr:col>5</xdr:col>
                    <xdr:colOff>228600</xdr:colOff>
                    <xdr:row>103</xdr:row>
                    <xdr:rowOff>152400</xdr:rowOff>
                  </to>
                </anchor>
              </controlPr>
            </control>
          </mc:Choice>
        </mc:AlternateContent>
        <mc:AlternateContent xmlns:mc="http://schemas.openxmlformats.org/markup-compatibility/2006">
          <mc:Choice Requires="x14">
            <control shapeId="100661" r:id="rId88" name="Check Box 309">
              <controlPr defaultSize="0" autoPict="0">
                <anchor moveWithCells="1">
                  <from>
                    <xdr:col>4</xdr:col>
                    <xdr:colOff>323850</xdr:colOff>
                    <xdr:row>103</xdr:row>
                    <xdr:rowOff>342900</xdr:rowOff>
                  </from>
                  <to>
                    <xdr:col>5</xdr:col>
                    <xdr:colOff>228600</xdr:colOff>
                    <xdr:row>104</xdr:row>
                    <xdr:rowOff>114300</xdr:rowOff>
                  </to>
                </anchor>
              </controlPr>
            </control>
          </mc:Choice>
        </mc:AlternateContent>
        <mc:AlternateContent xmlns:mc="http://schemas.openxmlformats.org/markup-compatibility/2006">
          <mc:Choice Requires="x14">
            <control shapeId="100662" r:id="rId89" name="Check Box 310">
              <controlPr defaultSize="0" autoPict="0">
                <anchor moveWithCells="1">
                  <from>
                    <xdr:col>4</xdr:col>
                    <xdr:colOff>323850</xdr:colOff>
                    <xdr:row>103</xdr:row>
                    <xdr:rowOff>190500</xdr:rowOff>
                  </from>
                  <to>
                    <xdr:col>5</xdr:col>
                    <xdr:colOff>228600</xdr:colOff>
                    <xdr:row>103</xdr:row>
                    <xdr:rowOff>695325</xdr:rowOff>
                  </to>
                </anchor>
              </controlPr>
            </control>
          </mc:Choice>
        </mc:AlternateContent>
        <mc:AlternateContent xmlns:mc="http://schemas.openxmlformats.org/markup-compatibility/2006">
          <mc:Choice Requires="x14">
            <control shapeId="100663" r:id="rId90" name="Check Box 311">
              <controlPr defaultSize="0" autoPict="0">
                <anchor moveWithCells="1">
                  <from>
                    <xdr:col>5</xdr:col>
                    <xdr:colOff>361950</xdr:colOff>
                    <xdr:row>104</xdr:row>
                    <xdr:rowOff>9525</xdr:rowOff>
                  </from>
                  <to>
                    <xdr:col>6</xdr:col>
                    <xdr:colOff>228600</xdr:colOff>
                    <xdr:row>104</xdr:row>
                    <xdr:rowOff>152400</xdr:rowOff>
                  </to>
                </anchor>
              </controlPr>
            </control>
          </mc:Choice>
        </mc:AlternateContent>
        <mc:AlternateContent xmlns:mc="http://schemas.openxmlformats.org/markup-compatibility/2006">
          <mc:Choice Requires="x14">
            <control shapeId="100664" r:id="rId91" name="Check Box 312">
              <controlPr defaultSize="0" autoPict="0">
                <anchor moveWithCells="1">
                  <from>
                    <xdr:col>4</xdr:col>
                    <xdr:colOff>304800</xdr:colOff>
                    <xdr:row>105</xdr:row>
                    <xdr:rowOff>0</xdr:rowOff>
                  </from>
                  <to>
                    <xdr:col>4</xdr:col>
                    <xdr:colOff>561975</xdr:colOff>
                    <xdr:row>105</xdr:row>
                    <xdr:rowOff>209550</xdr:rowOff>
                  </to>
                </anchor>
              </controlPr>
            </control>
          </mc:Choice>
        </mc:AlternateContent>
        <mc:AlternateContent xmlns:mc="http://schemas.openxmlformats.org/markup-compatibility/2006">
          <mc:Choice Requires="x14">
            <control shapeId="100665" r:id="rId92" name="Check Box 313">
              <controlPr defaultSize="0" autoPict="0">
                <anchor moveWithCells="1">
                  <from>
                    <xdr:col>4</xdr:col>
                    <xdr:colOff>295275</xdr:colOff>
                    <xdr:row>105</xdr:row>
                    <xdr:rowOff>514350</xdr:rowOff>
                  </from>
                  <to>
                    <xdr:col>4</xdr:col>
                    <xdr:colOff>600075</xdr:colOff>
                    <xdr:row>105</xdr:row>
                    <xdr:rowOff>704850</xdr:rowOff>
                  </to>
                </anchor>
              </controlPr>
            </control>
          </mc:Choice>
        </mc:AlternateContent>
        <mc:AlternateContent xmlns:mc="http://schemas.openxmlformats.org/markup-compatibility/2006">
          <mc:Choice Requires="x14">
            <control shapeId="100667" r:id="rId93" name="Check Box 315">
              <controlPr defaultSize="0" autoPict="0">
                <anchor moveWithCells="1">
                  <from>
                    <xdr:col>9</xdr:col>
                    <xdr:colOff>152400</xdr:colOff>
                    <xdr:row>116</xdr:row>
                    <xdr:rowOff>266700</xdr:rowOff>
                  </from>
                  <to>
                    <xdr:col>10</xdr:col>
                    <xdr:colOff>19050</xdr:colOff>
                    <xdr:row>116</xdr:row>
                    <xdr:rowOff>809625</xdr:rowOff>
                  </to>
                </anchor>
              </controlPr>
            </control>
          </mc:Choice>
        </mc:AlternateContent>
        <mc:AlternateContent xmlns:mc="http://schemas.openxmlformats.org/markup-compatibility/2006">
          <mc:Choice Requires="x14">
            <control shapeId="100675" r:id="rId94" name="Check Box 323">
              <controlPr defaultSize="0" autoPict="0">
                <anchor moveWithCells="1">
                  <from>
                    <xdr:col>9</xdr:col>
                    <xdr:colOff>152400</xdr:colOff>
                    <xdr:row>118</xdr:row>
                    <xdr:rowOff>552450</xdr:rowOff>
                  </from>
                  <to>
                    <xdr:col>9</xdr:col>
                    <xdr:colOff>390525</xdr:colOff>
                    <xdr:row>118</xdr:row>
                    <xdr:rowOff>723900</xdr:rowOff>
                  </to>
                </anchor>
              </controlPr>
            </control>
          </mc:Choice>
        </mc:AlternateContent>
        <mc:AlternateContent xmlns:mc="http://schemas.openxmlformats.org/markup-compatibility/2006">
          <mc:Choice Requires="x14">
            <control shapeId="100678" r:id="rId95" name="Check Box 326">
              <controlPr defaultSize="0" autoPict="0">
                <anchor moveWithCells="1">
                  <from>
                    <xdr:col>9</xdr:col>
                    <xdr:colOff>123825</xdr:colOff>
                    <xdr:row>120</xdr:row>
                    <xdr:rowOff>504825</xdr:rowOff>
                  </from>
                  <to>
                    <xdr:col>9</xdr:col>
                    <xdr:colOff>390525</xdr:colOff>
                    <xdr:row>120</xdr:row>
                    <xdr:rowOff>733425</xdr:rowOff>
                  </to>
                </anchor>
              </controlPr>
            </control>
          </mc:Choice>
        </mc:AlternateContent>
        <mc:AlternateContent xmlns:mc="http://schemas.openxmlformats.org/markup-compatibility/2006">
          <mc:Choice Requires="x14">
            <control shapeId="100680" r:id="rId96" name="Check Box 328">
              <controlPr defaultSize="0" autoPict="0">
                <anchor moveWithCells="1">
                  <from>
                    <xdr:col>9</xdr:col>
                    <xdr:colOff>180975</xdr:colOff>
                    <xdr:row>122</xdr:row>
                    <xdr:rowOff>600075</xdr:rowOff>
                  </from>
                  <to>
                    <xdr:col>9</xdr:col>
                    <xdr:colOff>457200</xdr:colOff>
                    <xdr:row>122</xdr:row>
                    <xdr:rowOff>904875</xdr:rowOff>
                  </to>
                </anchor>
              </controlPr>
            </control>
          </mc:Choice>
        </mc:AlternateContent>
        <mc:AlternateContent xmlns:mc="http://schemas.openxmlformats.org/markup-compatibility/2006">
          <mc:Choice Requires="x14">
            <control shapeId="100686" r:id="rId97" name="Check Box 334">
              <controlPr defaultSize="0" autoPict="0">
                <anchor moveWithCells="1">
                  <from>
                    <xdr:col>1</xdr:col>
                    <xdr:colOff>142875</xdr:colOff>
                    <xdr:row>148</xdr:row>
                    <xdr:rowOff>19050</xdr:rowOff>
                  </from>
                  <to>
                    <xdr:col>2</xdr:col>
                    <xdr:colOff>228600</xdr:colOff>
                    <xdr:row>148</xdr:row>
                    <xdr:rowOff>381000</xdr:rowOff>
                  </to>
                </anchor>
              </controlPr>
            </control>
          </mc:Choice>
        </mc:AlternateContent>
        <mc:AlternateContent xmlns:mc="http://schemas.openxmlformats.org/markup-compatibility/2006">
          <mc:Choice Requires="x14">
            <control shapeId="100687" r:id="rId98" name="Check Box 335">
              <controlPr defaultSize="0" autoPict="0">
                <anchor moveWithCells="1">
                  <from>
                    <xdr:col>5</xdr:col>
                    <xdr:colOff>180975</xdr:colOff>
                    <xdr:row>148</xdr:row>
                    <xdr:rowOff>47625</xdr:rowOff>
                  </from>
                  <to>
                    <xdr:col>5</xdr:col>
                    <xdr:colOff>581025</xdr:colOff>
                    <xdr:row>148</xdr:row>
                    <xdr:rowOff>409575</xdr:rowOff>
                  </to>
                </anchor>
              </controlPr>
            </control>
          </mc:Choice>
        </mc:AlternateContent>
        <mc:AlternateContent xmlns:mc="http://schemas.openxmlformats.org/markup-compatibility/2006">
          <mc:Choice Requires="x14">
            <control shapeId="100688" r:id="rId99" name="Check Box 336">
              <controlPr defaultSize="0" autoPict="0">
                <anchor moveWithCells="1">
                  <from>
                    <xdr:col>9</xdr:col>
                    <xdr:colOff>276225</xdr:colOff>
                    <xdr:row>148</xdr:row>
                    <xdr:rowOff>38100</xdr:rowOff>
                  </from>
                  <to>
                    <xdr:col>10</xdr:col>
                    <xdr:colOff>323850</xdr:colOff>
                    <xdr:row>148</xdr:row>
                    <xdr:rowOff>400050</xdr:rowOff>
                  </to>
                </anchor>
              </controlPr>
            </control>
          </mc:Choice>
        </mc:AlternateContent>
        <mc:AlternateContent xmlns:mc="http://schemas.openxmlformats.org/markup-compatibility/2006">
          <mc:Choice Requires="x14">
            <control shapeId="100689" r:id="rId100" name="Check Box 337">
              <controlPr defaultSize="0" autoPict="0">
                <anchor moveWithCells="1">
                  <from>
                    <xdr:col>9</xdr:col>
                    <xdr:colOff>257175</xdr:colOff>
                    <xdr:row>144</xdr:row>
                    <xdr:rowOff>28575</xdr:rowOff>
                  </from>
                  <to>
                    <xdr:col>10</xdr:col>
                    <xdr:colOff>123825</xdr:colOff>
                    <xdr:row>144</xdr:row>
                    <xdr:rowOff>390525</xdr:rowOff>
                  </to>
                </anchor>
              </controlPr>
            </control>
          </mc:Choice>
        </mc:AlternateContent>
        <mc:AlternateContent xmlns:mc="http://schemas.openxmlformats.org/markup-compatibility/2006">
          <mc:Choice Requires="x14">
            <control shapeId="100690" r:id="rId101" name="Check Box 338">
              <controlPr defaultSize="0" autoPict="0">
                <anchor moveWithCells="1">
                  <from>
                    <xdr:col>5</xdr:col>
                    <xdr:colOff>190500</xdr:colOff>
                    <xdr:row>144</xdr:row>
                    <xdr:rowOff>28575</xdr:rowOff>
                  </from>
                  <to>
                    <xdr:col>5</xdr:col>
                    <xdr:colOff>590550</xdr:colOff>
                    <xdr:row>144</xdr:row>
                    <xdr:rowOff>390525</xdr:rowOff>
                  </to>
                </anchor>
              </controlPr>
            </control>
          </mc:Choice>
        </mc:AlternateContent>
        <mc:AlternateContent xmlns:mc="http://schemas.openxmlformats.org/markup-compatibility/2006">
          <mc:Choice Requires="x14">
            <control shapeId="100691" r:id="rId102" name="Check Box 339">
              <controlPr defaultSize="0" autoPict="0">
                <anchor moveWithCells="1">
                  <from>
                    <xdr:col>1</xdr:col>
                    <xdr:colOff>190500</xdr:colOff>
                    <xdr:row>144</xdr:row>
                    <xdr:rowOff>19050</xdr:rowOff>
                  </from>
                  <to>
                    <xdr:col>2</xdr:col>
                    <xdr:colOff>285750</xdr:colOff>
                    <xdr:row>144</xdr:row>
                    <xdr:rowOff>381000</xdr:rowOff>
                  </to>
                </anchor>
              </controlPr>
            </control>
          </mc:Choice>
        </mc:AlternateContent>
        <mc:AlternateContent xmlns:mc="http://schemas.openxmlformats.org/markup-compatibility/2006">
          <mc:Choice Requires="x14">
            <control shapeId="100692" r:id="rId103" name="Check Box 340">
              <controlPr defaultSize="0" autoPict="0">
                <anchor moveWithCells="1">
                  <from>
                    <xdr:col>1</xdr:col>
                    <xdr:colOff>123825</xdr:colOff>
                    <xdr:row>140</xdr:row>
                    <xdr:rowOff>28575</xdr:rowOff>
                  </from>
                  <to>
                    <xdr:col>2</xdr:col>
                    <xdr:colOff>209550</xdr:colOff>
                    <xdr:row>140</xdr:row>
                    <xdr:rowOff>390525</xdr:rowOff>
                  </to>
                </anchor>
              </controlPr>
            </control>
          </mc:Choice>
        </mc:AlternateContent>
        <mc:AlternateContent xmlns:mc="http://schemas.openxmlformats.org/markup-compatibility/2006">
          <mc:Choice Requires="x14">
            <control shapeId="100693" r:id="rId104" name="Check Box 341">
              <controlPr defaultSize="0" autoPict="0">
                <anchor moveWithCells="1">
                  <from>
                    <xdr:col>5</xdr:col>
                    <xdr:colOff>152400</xdr:colOff>
                    <xdr:row>140</xdr:row>
                    <xdr:rowOff>28575</xdr:rowOff>
                  </from>
                  <to>
                    <xdr:col>5</xdr:col>
                    <xdr:colOff>561975</xdr:colOff>
                    <xdr:row>140</xdr:row>
                    <xdr:rowOff>390525</xdr:rowOff>
                  </to>
                </anchor>
              </controlPr>
            </control>
          </mc:Choice>
        </mc:AlternateContent>
        <mc:AlternateContent xmlns:mc="http://schemas.openxmlformats.org/markup-compatibility/2006">
          <mc:Choice Requires="x14">
            <control shapeId="100694" r:id="rId105" name="Check Box 342">
              <controlPr defaultSize="0" autoPict="0">
                <anchor moveWithCells="1">
                  <from>
                    <xdr:col>9</xdr:col>
                    <xdr:colOff>266700</xdr:colOff>
                    <xdr:row>140</xdr:row>
                    <xdr:rowOff>19050</xdr:rowOff>
                  </from>
                  <to>
                    <xdr:col>10</xdr:col>
                    <xdr:colOff>142875</xdr:colOff>
                    <xdr:row>140</xdr:row>
                    <xdr:rowOff>381000</xdr:rowOff>
                  </to>
                </anchor>
              </controlPr>
            </control>
          </mc:Choice>
        </mc:AlternateContent>
        <mc:AlternateContent xmlns:mc="http://schemas.openxmlformats.org/markup-compatibility/2006">
          <mc:Choice Requires="x14">
            <control shapeId="100701" r:id="rId106" name="Check Box 349">
              <controlPr defaultSize="0" autoPict="0">
                <anchor moveWithCells="1">
                  <from>
                    <xdr:col>1</xdr:col>
                    <xdr:colOff>114300</xdr:colOff>
                    <xdr:row>127</xdr:row>
                    <xdr:rowOff>76200</xdr:rowOff>
                  </from>
                  <to>
                    <xdr:col>2</xdr:col>
                    <xdr:colOff>209550</xdr:colOff>
                    <xdr:row>127</xdr:row>
                    <xdr:rowOff>304800</xdr:rowOff>
                  </to>
                </anchor>
              </controlPr>
            </control>
          </mc:Choice>
        </mc:AlternateContent>
        <mc:AlternateContent xmlns:mc="http://schemas.openxmlformats.org/markup-compatibility/2006">
          <mc:Choice Requires="x14">
            <control shapeId="100702" r:id="rId107" name="Check Box 350">
              <controlPr defaultSize="0" autoPict="0">
                <anchor moveWithCells="1">
                  <from>
                    <xdr:col>5</xdr:col>
                    <xdr:colOff>152400</xdr:colOff>
                    <xdr:row>127</xdr:row>
                    <xdr:rowOff>76200</xdr:rowOff>
                  </from>
                  <to>
                    <xdr:col>5</xdr:col>
                    <xdr:colOff>552450</xdr:colOff>
                    <xdr:row>127</xdr:row>
                    <xdr:rowOff>304800</xdr:rowOff>
                  </to>
                </anchor>
              </controlPr>
            </control>
          </mc:Choice>
        </mc:AlternateContent>
        <mc:AlternateContent xmlns:mc="http://schemas.openxmlformats.org/markup-compatibility/2006">
          <mc:Choice Requires="x14">
            <control shapeId="100703" r:id="rId108" name="Check Box 351">
              <controlPr defaultSize="0" autoPict="0">
                <anchor moveWithCells="1">
                  <from>
                    <xdr:col>9</xdr:col>
                    <xdr:colOff>190500</xdr:colOff>
                    <xdr:row>127</xdr:row>
                    <xdr:rowOff>76200</xdr:rowOff>
                  </from>
                  <to>
                    <xdr:col>10</xdr:col>
                    <xdr:colOff>66675</xdr:colOff>
                    <xdr:row>127</xdr:row>
                    <xdr:rowOff>304800</xdr:rowOff>
                  </to>
                </anchor>
              </controlPr>
            </control>
          </mc:Choice>
        </mc:AlternateContent>
        <mc:AlternateContent xmlns:mc="http://schemas.openxmlformats.org/markup-compatibility/2006">
          <mc:Choice Requires="x14">
            <control shapeId="100710" r:id="rId109" name="Check Box 358">
              <controlPr defaultSize="0" autoPict="0">
                <anchor moveWithCells="1">
                  <from>
                    <xdr:col>6</xdr:col>
                    <xdr:colOff>38100</xdr:colOff>
                    <xdr:row>165</xdr:row>
                    <xdr:rowOff>171450</xdr:rowOff>
                  </from>
                  <to>
                    <xdr:col>7</xdr:col>
                    <xdr:colOff>19050</xdr:colOff>
                    <xdr:row>166</xdr:row>
                    <xdr:rowOff>161925</xdr:rowOff>
                  </to>
                </anchor>
              </controlPr>
            </control>
          </mc:Choice>
        </mc:AlternateContent>
        <mc:AlternateContent xmlns:mc="http://schemas.openxmlformats.org/markup-compatibility/2006">
          <mc:Choice Requires="x14">
            <control shapeId="100711" r:id="rId110" name="Check Box 359">
              <controlPr defaultSize="0" autoPict="0">
                <anchor moveWithCells="1">
                  <from>
                    <xdr:col>10</xdr:col>
                    <xdr:colOff>704850</xdr:colOff>
                    <xdr:row>165</xdr:row>
                    <xdr:rowOff>0</xdr:rowOff>
                  </from>
                  <to>
                    <xdr:col>11</xdr:col>
                    <xdr:colOff>457200</xdr:colOff>
                    <xdr:row>165</xdr:row>
                    <xdr:rowOff>361950</xdr:rowOff>
                  </to>
                </anchor>
              </controlPr>
            </control>
          </mc:Choice>
        </mc:AlternateContent>
        <mc:AlternateContent xmlns:mc="http://schemas.openxmlformats.org/markup-compatibility/2006">
          <mc:Choice Requires="x14">
            <control shapeId="100712" r:id="rId111" name="Check Box 360">
              <controlPr defaultSize="0" autoPict="0">
                <anchor moveWithCells="1">
                  <from>
                    <xdr:col>6</xdr:col>
                    <xdr:colOff>38100</xdr:colOff>
                    <xdr:row>167</xdr:row>
                    <xdr:rowOff>171450</xdr:rowOff>
                  </from>
                  <to>
                    <xdr:col>7</xdr:col>
                    <xdr:colOff>19050</xdr:colOff>
                    <xdr:row>168</xdr:row>
                    <xdr:rowOff>209550</xdr:rowOff>
                  </to>
                </anchor>
              </controlPr>
            </control>
          </mc:Choice>
        </mc:AlternateContent>
        <mc:AlternateContent xmlns:mc="http://schemas.openxmlformats.org/markup-compatibility/2006">
          <mc:Choice Requires="x14">
            <control shapeId="100713" r:id="rId112" name="Check Box 361">
              <controlPr defaultSize="0" autoPict="0">
                <anchor moveWithCells="1">
                  <from>
                    <xdr:col>10</xdr:col>
                    <xdr:colOff>704850</xdr:colOff>
                    <xdr:row>167</xdr:row>
                    <xdr:rowOff>47625</xdr:rowOff>
                  </from>
                  <to>
                    <xdr:col>11</xdr:col>
                    <xdr:colOff>466725</xdr:colOff>
                    <xdr:row>168</xdr:row>
                    <xdr:rowOff>95250</xdr:rowOff>
                  </to>
                </anchor>
              </controlPr>
            </control>
          </mc:Choice>
        </mc:AlternateContent>
        <mc:AlternateContent xmlns:mc="http://schemas.openxmlformats.org/markup-compatibility/2006">
          <mc:Choice Requires="x14">
            <control shapeId="100714" r:id="rId113" name="Check Box 362">
              <controlPr defaultSize="0" autoPict="0">
                <anchor moveWithCells="1">
                  <from>
                    <xdr:col>6</xdr:col>
                    <xdr:colOff>47625</xdr:colOff>
                    <xdr:row>170</xdr:row>
                    <xdr:rowOff>114300</xdr:rowOff>
                  </from>
                  <to>
                    <xdr:col>7</xdr:col>
                    <xdr:colOff>38100</xdr:colOff>
                    <xdr:row>171</xdr:row>
                    <xdr:rowOff>114300</xdr:rowOff>
                  </to>
                </anchor>
              </controlPr>
            </control>
          </mc:Choice>
        </mc:AlternateContent>
        <mc:AlternateContent xmlns:mc="http://schemas.openxmlformats.org/markup-compatibility/2006">
          <mc:Choice Requires="x14">
            <control shapeId="100715" r:id="rId114" name="Check Box 363">
              <controlPr defaultSize="0" autoPict="0">
                <anchor moveWithCells="1">
                  <from>
                    <xdr:col>10</xdr:col>
                    <xdr:colOff>666750</xdr:colOff>
                    <xdr:row>170</xdr:row>
                    <xdr:rowOff>104775</xdr:rowOff>
                  </from>
                  <to>
                    <xdr:col>11</xdr:col>
                    <xdr:colOff>114300</xdr:colOff>
                    <xdr:row>170</xdr:row>
                    <xdr:rowOff>266700</xdr:rowOff>
                  </to>
                </anchor>
              </controlPr>
            </control>
          </mc:Choice>
        </mc:AlternateContent>
        <mc:AlternateContent xmlns:mc="http://schemas.openxmlformats.org/markup-compatibility/2006">
          <mc:Choice Requires="x14">
            <control shapeId="100716" r:id="rId115" name="Check Box 364">
              <controlPr defaultSize="0" autoPict="0">
                <anchor moveWithCells="1">
                  <from>
                    <xdr:col>6</xdr:col>
                    <xdr:colOff>66675</xdr:colOff>
                    <xdr:row>172</xdr:row>
                    <xdr:rowOff>304800</xdr:rowOff>
                  </from>
                  <to>
                    <xdr:col>7</xdr:col>
                    <xdr:colOff>57150</xdr:colOff>
                    <xdr:row>173</xdr:row>
                    <xdr:rowOff>152400</xdr:rowOff>
                  </to>
                </anchor>
              </controlPr>
            </control>
          </mc:Choice>
        </mc:AlternateContent>
        <mc:AlternateContent xmlns:mc="http://schemas.openxmlformats.org/markup-compatibility/2006">
          <mc:Choice Requires="x14">
            <control shapeId="100717" r:id="rId116" name="Check Box 365">
              <controlPr defaultSize="0" autoPict="0">
                <anchor moveWithCells="1">
                  <from>
                    <xdr:col>10</xdr:col>
                    <xdr:colOff>666750</xdr:colOff>
                    <xdr:row>172</xdr:row>
                    <xdr:rowOff>228600</xdr:rowOff>
                  </from>
                  <to>
                    <xdr:col>11</xdr:col>
                    <xdr:colOff>419100</xdr:colOff>
                    <xdr:row>173</xdr:row>
                    <xdr:rowOff>152400</xdr:rowOff>
                  </to>
                </anchor>
              </controlPr>
            </control>
          </mc:Choice>
        </mc:AlternateContent>
        <mc:AlternateContent xmlns:mc="http://schemas.openxmlformats.org/markup-compatibility/2006">
          <mc:Choice Requires="x14">
            <control shapeId="100718" r:id="rId117" name="Check Box 366">
              <controlPr defaultSize="0" autoPict="0">
                <anchor moveWithCells="1">
                  <from>
                    <xdr:col>6</xdr:col>
                    <xdr:colOff>57150</xdr:colOff>
                    <xdr:row>174</xdr:row>
                    <xdr:rowOff>342900</xdr:rowOff>
                  </from>
                  <to>
                    <xdr:col>7</xdr:col>
                    <xdr:colOff>38100</xdr:colOff>
                    <xdr:row>175</xdr:row>
                    <xdr:rowOff>161925</xdr:rowOff>
                  </to>
                </anchor>
              </controlPr>
            </control>
          </mc:Choice>
        </mc:AlternateContent>
        <mc:AlternateContent xmlns:mc="http://schemas.openxmlformats.org/markup-compatibility/2006">
          <mc:Choice Requires="x14">
            <control shapeId="100719" r:id="rId118" name="Check Box 367">
              <controlPr defaultSize="0" autoPict="0">
                <anchor moveWithCells="1">
                  <from>
                    <xdr:col>10</xdr:col>
                    <xdr:colOff>638175</xdr:colOff>
                    <xdr:row>174</xdr:row>
                    <xdr:rowOff>238125</xdr:rowOff>
                  </from>
                  <to>
                    <xdr:col>11</xdr:col>
                    <xdr:colOff>400050</xdr:colOff>
                    <xdr:row>175</xdr:row>
                    <xdr:rowOff>161925</xdr:rowOff>
                  </to>
                </anchor>
              </controlPr>
            </control>
          </mc:Choice>
        </mc:AlternateContent>
        <mc:AlternateContent xmlns:mc="http://schemas.openxmlformats.org/markup-compatibility/2006">
          <mc:Choice Requires="x14">
            <control shapeId="100720" r:id="rId119" name="Check Box 368">
              <controlPr defaultSize="0" autoPict="0">
                <anchor moveWithCells="1">
                  <from>
                    <xdr:col>6</xdr:col>
                    <xdr:colOff>66675</xdr:colOff>
                    <xdr:row>176</xdr:row>
                    <xdr:rowOff>238125</xdr:rowOff>
                  </from>
                  <to>
                    <xdr:col>6</xdr:col>
                    <xdr:colOff>390525</xdr:colOff>
                    <xdr:row>176</xdr:row>
                    <xdr:rowOff>400050</xdr:rowOff>
                  </to>
                </anchor>
              </controlPr>
            </control>
          </mc:Choice>
        </mc:AlternateContent>
        <mc:AlternateContent xmlns:mc="http://schemas.openxmlformats.org/markup-compatibility/2006">
          <mc:Choice Requires="x14">
            <control shapeId="100721" r:id="rId120" name="Check Box 369">
              <controlPr defaultSize="0" autoPict="0">
                <anchor moveWithCells="1">
                  <from>
                    <xdr:col>10</xdr:col>
                    <xdr:colOff>638175</xdr:colOff>
                    <xdr:row>176</xdr:row>
                    <xdr:rowOff>247650</xdr:rowOff>
                  </from>
                  <to>
                    <xdr:col>11</xdr:col>
                    <xdr:colOff>400050</xdr:colOff>
                    <xdr:row>176</xdr:row>
                    <xdr:rowOff>419100</xdr:rowOff>
                  </to>
                </anchor>
              </controlPr>
            </control>
          </mc:Choice>
        </mc:AlternateContent>
        <mc:AlternateContent xmlns:mc="http://schemas.openxmlformats.org/markup-compatibility/2006">
          <mc:Choice Requires="x14">
            <control shapeId="100722" r:id="rId121" name="Check Box 370">
              <controlPr defaultSize="0" autoPict="0">
                <anchor moveWithCells="1">
                  <from>
                    <xdr:col>8</xdr:col>
                    <xdr:colOff>133350</xdr:colOff>
                    <xdr:row>154</xdr:row>
                    <xdr:rowOff>352425</xdr:rowOff>
                  </from>
                  <to>
                    <xdr:col>8</xdr:col>
                    <xdr:colOff>533400</xdr:colOff>
                    <xdr:row>156</xdr:row>
                    <xdr:rowOff>9525</xdr:rowOff>
                  </to>
                </anchor>
              </controlPr>
            </control>
          </mc:Choice>
        </mc:AlternateContent>
        <mc:AlternateContent xmlns:mc="http://schemas.openxmlformats.org/markup-compatibility/2006">
          <mc:Choice Requires="x14">
            <control shapeId="100723" r:id="rId122" name="Check Box 371">
              <controlPr defaultSize="0" autoPict="0">
                <anchor moveWithCells="1">
                  <from>
                    <xdr:col>4</xdr:col>
                    <xdr:colOff>95250</xdr:colOff>
                    <xdr:row>155</xdr:row>
                    <xdr:rowOff>57150</xdr:rowOff>
                  </from>
                  <to>
                    <xdr:col>4</xdr:col>
                    <xdr:colOff>504825</xdr:colOff>
                    <xdr:row>155</xdr:row>
                    <xdr:rowOff>419100</xdr:rowOff>
                  </to>
                </anchor>
              </controlPr>
            </control>
          </mc:Choice>
        </mc:AlternateContent>
        <mc:AlternateContent xmlns:mc="http://schemas.openxmlformats.org/markup-compatibility/2006">
          <mc:Choice Requires="x14">
            <control shapeId="100724" r:id="rId123" name="Check Box 372">
              <controlPr defaultSize="0" autoPict="0">
                <anchor moveWithCells="1">
                  <from>
                    <xdr:col>2</xdr:col>
                    <xdr:colOff>400050</xdr:colOff>
                    <xdr:row>56</xdr:row>
                    <xdr:rowOff>0</xdr:rowOff>
                  </from>
                  <to>
                    <xdr:col>3</xdr:col>
                    <xdr:colOff>523875</xdr:colOff>
                    <xdr:row>56</xdr:row>
                    <xdr:rowOff>152400</xdr:rowOff>
                  </to>
                </anchor>
              </controlPr>
            </control>
          </mc:Choice>
        </mc:AlternateContent>
        <mc:AlternateContent xmlns:mc="http://schemas.openxmlformats.org/markup-compatibility/2006">
          <mc:Choice Requires="x14">
            <control shapeId="100725" r:id="rId124" name="Check Box 373">
              <controlPr defaultSize="0" autoPict="0">
                <anchor moveWithCells="1">
                  <from>
                    <xdr:col>7</xdr:col>
                    <xdr:colOff>0</xdr:colOff>
                    <xdr:row>56</xdr:row>
                    <xdr:rowOff>0</xdr:rowOff>
                  </from>
                  <to>
                    <xdr:col>7</xdr:col>
                    <xdr:colOff>161925</xdr:colOff>
                    <xdr:row>56</xdr:row>
                    <xdr:rowOff>152400</xdr:rowOff>
                  </to>
                </anchor>
              </controlPr>
            </control>
          </mc:Choice>
        </mc:AlternateContent>
        <mc:AlternateContent xmlns:mc="http://schemas.openxmlformats.org/markup-compatibility/2006">
          <mc:Choice Requires="x14">
            <control shapeId="100726" r:id="rId125" name="Check Box 374">
              <controlPr defaultSize="0" autoPict="0">
                <anchor moveWithCells="1">
                  <from>
                    <xdr:col>10</xdr:col>
                    <xdr:colOff>57150</xdr:colOff>
                    <xdr:row>56</xdr:row>
                    <xdr:rowOff>0</xdr:rowOff>
                  </from>
                  <to>
                    <xdr:col>10</xdr:col>
                    <xdr:colOff>285750</xdr:colOff>
                    <xdr:row>56</xdr:row>
                    <xdr:rowOff>152400</xdr:rowOff>
                  </to>
                </anchor>
              </controlPr>
            </control>
          </mc:Choice>
        </mc:AlternateContent>
        <mc:AlternateContent xmlns:mc="http://schemas.openxmlformats.org/markup-compatibility/2006">
          <mc:Choice Requires="x14">
            <control shapeId="100727" r:id="rId126" name="Check Box 375">
              <controlPr defaultSize="0" autoPict="0">
                <anchor moveWithCells="1">
                  <from>
                    <xdr:col>12</xdr:col>
                    <xdr:colOff>47625</xdr:colOff>
                    <xdr:row>56</xdr:row>
                    <xdr:rowOff>0</xdr:rowOff>
                  </from>
                  <to>
                    <xdr:col>12</xdr:col>
                    <xdr:colOff>314325</xdr:colOff>
                    <xdr:row>56</xdr:row>
                    <xdr:rowOff>152400</xdr:rowOff>
                  </to>
                </anchor>
              </controlPr>
            </control>
          </mc:Choice>
        </mc:AlternateContent>
        <mc:AlternateContent xmlns:mc="http://schemas.openxmlformats.org/markup-compatibility/2006">
          <mc:Choice Requires="x14">
            <control shapeId="100728" r:id="rId127" name="Check Box 376">
              <controlPr defaultSize="0" autoPict="0">
                <anchor moveWithCells="1">
                  <from>
                    <xdr:col>12</xdr:col>
                    <xdr:colOff>219075</xdr:colOff>
                    <xdr:row>193</xdr:row>
                    <xdr:rowOff>114300</xdr:rowOff>
                  </from>
                  <to>
                    <xdr:col>12</xdr:col>
                    <xdr:colOff>523875</xdr:colOff>
                    <xdr:row>193</xdr:row>
                    <xdr:rowOff>247650</xdr:rowOff>
                  </to>
                </anchor>
              </controlPr>
            </control>
          </mc:Choice>
        </mc:AlternateContent>
        <mc:AlternateContent xmlns:mc="http://schemas.openxmlformats.org/markup-compatibility/2006">
          <mc:Choice Requires="x14">
            <control shapeId="100729" r:id="rId128" name="Check Box 377">
              <controlPr defaultSize="0" autoPict="0">
                <anchor moveWithCells="1">
                  <from>
                    <xdr:col>12</xdr:col>
                    <xdr:colOff>238125</xdr:colOff>
                    <xdr:row>202</xdr:row>
                    <xdr:rowOff>0</xdr:rowOff>
                  </from>
                  <to>
                    <xdr:col>12</xdr:col>
                    <xdr:colOff>542925</xdr:colOff>
                    <xdr:row>202</xdr:row>
                    <xdr:rowOff>133350</xdr:rowOff>
                  </to>
                </anchor>
              </controlPr>
            </control>
          </mc:Choice>
        </mc:AlternateContent>
        <mc:AlternateContent xmlns:mc="http://schemas.openxmlformats.org/markup-compatibility/2006">
          <mc:Choice Requires="x14">
            <control shapeId="100730" r:id="rId129" name="Check Box 378">
              <controlPr defaultSize="0" autoPict="0">
                <anchor moveWithCells="1">
                  <from>
                    <xdr:col>12</xdr:col>
                    <xdr:colOff>238125</xdr:colOff>
                    <xdr:row>204</xdr:row>
                    <xdr:rowOff>0</xdr:rowOff>
                  </from>
                  <to>
                    <xdr:col>12</xdr:col>
                    <xdr:colOff>438150</xdr:colOff>
                    <xdr:row>204</xdr:row>
                    <xdr:rowOff>152400</xdr:rowOff>
                  </to>
                </anchor>
              </controlPr>
            </control>
          </mc:Choice>
        </mc:AlternateContent>
        <mc:AlternateContent xmlns:mc="http://schemas.openxmlformats.org/markup-compatibility/2006">
          <mc:Choice Requires="x14">
            <control shapeId="100731" r:id="rId130" name="Check Box 379">
              <controlPr defaultSize="0" autoPict="0">
                <anchor moveWithCells="1">
                  <from>
                    <xdr:col>4</xdr:col>
                    <xdr:colOff>523875</xdr:colOff>
                    <xdr:row>99</xdr:row>
                    <xdr:rowOff>9525</xdr:rowOff>
                  </from>
                  <to>
                    <xdr:col>5</xdr:col>
                    <xdr:colOff>66675</xdr:colOff>
                    <xdr:row>99</xdr:row>
                    <xdr:rowOff>276225</xdr:rowOff>
                  </to>
                </anchor>
              </controlPr>
            </control>
          </mc:Choice>
        </mc:AlternateContent>
        <mc:AlternateContent xmlns:mc="http://schemas.openxmlformats.org/markup-compatibility/2006">
          <mc:Choice Requires="x14">
            <control shapeId="100732" r:id="rId131" name="Check Box 380">
              <controlPr defaultSize="0" autoPict="0">
                <anchor moveWithCells="1">
                  <from>
                    <xdr:col>4</xdr:col>
                    <xdr:colOff>285750</xdr:colOff>
                    <xdr:row>100</xdr:row>
                    <xdr:rowOff>0</xdr:rowOff>
                  </from>
                  <to>
                    <xdr:col>5</xdr:col>
                    <xdr:colOff>419100</xdr:colOff>
                    <xdr:row>100</xdr:row>
                    <xdr:rowOff>133350</xdr:rowOff>
                  </to>
                </anchor>
              </controlPr>
            </control>
          </mc:Choice>
        </mc:AlternateContent>
        <mc:AlternateContent xmlns:mc="http://schemas.openxmlformats.org/markup-compatibility/2006">
          <mc:Choice Requires="x14">
            <control shapeId="100733" r:id="rId132" name="Check Box 381">
              <controlPr defaultSize="0" autoPict="0">
                <anchor moveWithCells="1">
                  <from>
                    <xdr:col>4</xdr:col>
                    <xdr:colOff>276225</xdr:colOff>
                    <xdr:row>100</xdr:row>
                    <xdr:rowOff>247650</xdr:rowOff>
                  </from>
                  <to>
                    <xdr:col>4</xdr:col>
                    <xdr:colOff>514350</xdr:colOff>
                    <xdr:row>100</xdr:row>
                    <xdr:rowOff>571500</xdr:rowOff>
                  </to>
                </anchor>
              </controlPr>
            </control>
          </mc:Choice>
        </mc:AlternateContent>
        <mc:AlternateContent xmlns:mc="http://schemas.openxmlformats.org/markup-compatibility/2006">
          <mc:Choice Requires="x14">
            <control shapeId="100734" r:id="rId133" name="Check Box 382">
              <controlPr defaultSize="0" autoPict="0">
                <anchor moveWithCells="1">
                  <from>
                    <xdr:col>4</xdr:col>
                    <xdr:colOff>333375</xdr:colOff>
                    <xdr:row>101</xdr:row>
                    <xdr:rowOff>114300</xdr:rowOff>
                  </from>
                  <to>
                    <xdr:col>4</xdr:col>
                    <xdr:colOff>581025</xdr:colOff>
                    <xdr:row>101</xdr:row>
                    <xdr:rowOff>400050</xdr:rowOff>
                  </to>
                </anchor>
              </controlPr>
            </control>
          </mc:Choice>
        </mc:AlternateContent>
        <mc:AlternateContent xmlns:mc="http://schemas.openxmlformats.org/markup-compatibility/2006">
          <mc:Choice Requires="x14">
            <control shapeId="100735" r:id="rId134" name="Check Box 383">
              <controlPr defaultSize="0" autoPict="0">
                <anchor moveWithCells="1">
                  <from>
                    <xdr:col>4</xdr:col>
                    <xdr:colOff>323850</xdr:colOff>
                    <xdr:row>100</xdr:row>
                    <xdr:rowOff>1181100</xdr:rowOff>
                  </from>
                  <to>
                    <xdr:col>4</xdr:col>
                    <xdr:colOff>638175</xdr:colOff>
                    <xdr:row>101</xdr:row>
                    <xdr:rowOff>219075</xdr:rowOff>
                  </to>
                </anchor>
              </controlPr>
            </control>
          </mc:Choice>
        </mc:AlternateContent>
        <mc:AlternateContent xmlns:mc="http://schemas.openxmlformats.org/markup-compatibility/2006">
          <mc:Choice Requires="x14">
            <control shapeId="100736" r:id="rId135" name="Check Box 384">
              <controlPr defaultSize="0" autoPict="0">
                <anchor moveWithCells="1">
                  <from>
                    <xdr:col>4</xdr:col>
                    <xdr:colOff>323850</xdr:colOff>
                    <xdr:row>103</xdr:row>
                    <xdr:rowOff>19050</xdr:rowOff>
                  </from>
                  <to>
                    <xdr:col>5</xdr:col>
                    <xdr:colOff>457200</xdr:colOff>
                    <xdr:row>103</xdr:row>
                    <xdr:rowOff>152400</xdr:rowOff>
                  </to>
                </anchor>
              </controlPr>
            </control>
          </mc:Choice>
        </mc:AlternateContent>
        <mc:AlternateContent xmlns:mc="http://schemas.openxmlformats.org/markup-compatibility/2006">
          <mc:Choice Requires="x14">
            <control shapeId="100737" r:id="rId136" name="Check Box 385">
              <controlPr defaultSize="0" autoPict="0">
                <anchor moveWithCells="1">
                  <from>
                    <xdr:col>5</xdr:col>
                    <xdr:colOff>361950</xdr:colOff>
                    <xdr:row>104</xdr:row>
                    <xdr:rowOff>9525</xdr:rowOff>
                  </from>
                  <to>
                    <xdr:col>7</xdr:col>
                    <xdr:colOff>38100</xdr:colOff>
                    <xdr:row>104</xdr:row>
                    <xdr:rowOff>152400</xdr:rowOff>
                  </to>
                </anchor>
              </controlPr>
            </control>
          </mc:Choice>
        </mc:AlternateContent>
        <mc:AlternateContent xmlns:mc="http://schemas.openxmlformats.org/markup-compatibility/2006">
          <mc:Choice Requires="x14">
            <control shapeId="100739" r:id="rId137" name="Check Box 387">
              <controlPr defaultSize="0" autoPict="0">
                <anchor moveWithCells="1">
                  <from>
                    <xdr:col>4</xdr:col>
                    <xdr:colOff>295275</xdr:colOff>
                    <xdr:row>105</xdr:row>
                    <xdr:rowOff>171450</xdr:rowOff>
                  </from>
                  <to>
                    <xdr:col>4</xdr:col>
                    <xdr:colOff>561975</xdr:colOff>
                    <xdr:row>105</xdr:row>
                    <xdr:rowOff>428625</xdr:rowOff>
                  </to>
                </anchor>
              </controlPr>
            </control>
          </mc:Choice>
        </mc:AlternateContent>
        <mc:AlternateContent xmlns:mc="http://schemas.openxmlformats.org/markup-compatibility/2006">
          <mc:Choice Requires="x14">
            <control shapeId="100742" r:id="rId138" name="Check Box 390">
              <controlPr defaultSize="0" autoPict="0">
                <anchor moveWithCells="1">
                  <from>
                    <xdr:col>12</xdr:col>
                    <xdr:colOff>219075</xdr:colOff>
                    <xdr:row>156</xdr:row>
                    <xdr:rowOff>171450</xdr:rowOff>
                  </from>
                  <to>
                    <xdr:col>12</xdr:col>
                    <xdr:colOff>485775</xdr:colOff>
                    <xdr:row>156</xdr:row>
                    <xdr:rowOff>352425</xdr:rowOff>
                  </to>
                </anchor>
              </controlPr>
            </control>
          </mc:Choice>
        </mc:AlternateContent>
        <mc:AlternateContent xmlns:mc="http://schemas.openxmlformats.org/markup-compatibility/2006">
          <mc:Choice Requires="x14">
            <control shapeId="100743" r:id="rId139" name="Check Box 391">
              <controlPr defaultSize="0" autoPict="0">
                <anchor moveWithCells="1">
                  <from>
                    <xdr:col>10</xdr:col>
                    <xdr:colOff>809625</xdr:colOff>
                    <xdr:row>156</xdr:row>
                    <xdr:rowOff>171450</xdr:rowOff>
                  </from>
                  <to>
                    <xdr:col>11</xdr:col>
                    <xdr:colOff>276225</xdr:colOff>
                    <xdr:row>156</xdr:row>
                    <xdr:rowOff>342900</xdr:rowOff>
                  </to>
                </anchor>
              </controlPr>
            </control>
          </mc:Choice>
        </mc:AlternateContent>
        <mc:AlternateContent xmlns:mc="http://schemas.openxmlformats.org/markup-compatibility/2006">
          <mc:Choice Requires="x14">
            <control shapeId="100750" r:id="rId140" name="Check Box 398">
              <controlPr defaultSize="0" autoPict="0">
                <anchor moveWithCells="1">
                  <from>
                    <xdr:col>9</xdr:col>
                    <xdr:colOff>171450</xdr:colOff>
                    <xdr:row>124</xdr:row>
                    <xdr:rowOff>885825</xdr:rowOff>
                  </from>
                  <to>
                    <xdr:col>9</xdr:col>
                    <xdr:colOff>438150</xdr:colOff>
                    <xdr:row>124</xdr:row>
                    <xdr:rowOff>1190625</xdr:rowOff>
                  </to>
                </anchor>
              </controlPr>
            </control>
          </mc:Choice>
        </mc:AlternateContent>
        <mc:AlternateContent xmlns:mc="http://schemas.openxmlformats.org/markup-compatibility/2006">
          <mc:Choice Requires="x14">
            <control shapeId="100751" r:id="rId141" name="Check Box 399">
              <controlPr defaultSize="0" autoPict="0">
                <anchor moveWithCells="1">
                  <from>
                    <xdr:col>6</xdr:col>
                    <xdr:colOff>400050</xdr:colOff>
                    <xdr:row>107</xdr:row>
                    <xdr:rowOff>466725</xdr:rowOff>
                  </from>
                  <to>
                    <xdr:col>8</xdr:col>
                    <xdr:colOff>19050</xdr:colOff>
                    <xdr:row>107</xdr:row>
                    <xdr:rowOff>704850</xdr:rowOff>
                  </to>
                </anchor>
              </controlPr>
            </control>
          </mc:Choice>
        </mc:AlternateContent>
        <mc:AlternateContent xmlns:mc="http://schemas.openxmlformats.org/markup-compatibility/2006">
          <mc:Choice Requires="x14">
            <control shapeId="100752" r:id="rId142" name="Check Box 400">
              <controlPr defaultSize="0" autoPict="0">
                <anchor moveWithCells="1">
                  <from>
                    <xdr:col>7</xdr:col>
                    <xdr:colOff>38100</xdr:colOff>
                    <xdr:row>107</xdr:row>
                    <xdr:rowOff>619125</xdr:rowOff>
                  </from>
                  <to>
                    <xdr:col>8</xdr:col>
                    <xdr:colOff>66675</xdr:colOff>
                    <xdr:row>107</xdr:row>
                    <xdr:rowOff>857250</xdr:rowOff>
                  </to>
                </anchor>
              </controlPr>
            </control>
          </mc:Choice>
        </mc:AlternateContent>
        <mc:AlternateContent xmlns:mc="http://schemas.openxmlformats.org/markup-compatibility/2006">
          <mc:Choice Requires="x14">
            <control shapeId="100753" r:id="rId143" name="Check Box 401">
              <controlPr defaultSize="0" autoPict="0">
                <anchor moveWithCells="1">
                  <from>
                    <xdr:col>4</xdr:col>
                    <xdr:colOff>590550</xdr:colOff>
                    <xdr:row>104</xdr:row>
                    <xdr:rowOff>161925</xdr:rowOff>
                  </from>
                  <to>
                    <xdr:col>5</xdr:col>
                    <xdr:colOff>161925</xdr:colOff>
                    <xdr:row>104</xdr:row>
                    <xdr:rowOff>371475</xdr:rowOff>
                  </to>
                </anchor>
              </controlPr>
            </control>
          </mc:Choice>
        </mc:AlternateContent>
        <mc:AlternateContent xmlns:mc="http://schemas.openxmlformats.org/markup-compatibility/2006">
          <mc:Choice Requires="x14">
            <control shapeId="100754" r:id="rId144" name="Check Box 402">
              <controlPr defaultSize="0" autoPict="0">
                <anchor moveWithCells="1">
                  <from>
                    <xdr:col>4</xdr:col>
                    <xdr:colOff>352425</xdr:colOff>
                    <xdr:row>104</xdr:row>
                    <xdr:rowOff>476250</xdr:rowOff>
                  </from>
                  <to>
                    <xdr:col>4</xdr:col>
                    <xdr:colOff>609600</xdr:colOff>
                    <xdr:row>104</xdr:row>
                    <xdr:rowOff>685800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DR254"/>
  <sheetViews>
    <sheetView showGridLines="0" topLeftCell="A46" zoomScale="80" zoomScaleNormal="80" workbookViewId="0">
      <selection activeCell="F261" sqref="F261"/>
    </sheetView>
  </sheetViews>
  <sheetFormatPr defaultColWidth="11" defaultRowHeight="15"/>
  <cols>
    <col min="1" max="1" width="17.5" style="3" customWidth="1"/>
    <col min="2" max="2" width="15.125" style="3" customWidth="1"/>
    <col min="3" max="3" width="19" style="3" customWidth="1"/>
    <col min="4" max="4" width="22.125" style="3" customWidth="1"/>
    <col min="5" max="5" width="13.5" style="3" customWidth="1"/>
    <col min="6" max="6" width="11.625" style="3" customWidth="1"/>
    <col min="7" max="7" width="0.5" style="3" customWidth="1"/>
    <col min="8" max="8" width="11" style="3"/>
    <col min="9" max="10" width="16.375" style="3" customWidth="1"/>
    <col min="11" max="11" width="16.875" style="3" customWidth="1"/>
    <col min="12" max="12" width="20" style="3" customWidth="1"/>
    <col min="13" max="13" width="8.125" style="3" customWidth="1"/>
    <col min="14" max="14" width="16.125" style="3" customWidth="1"/>
    <col min="15" max="15" width="19.375" style="3" customWidth="1"/>
    <col min="16" max="16" width="22" style="3" customWidth="1"/>
    <col min="17" max="17" width="22.375" style="3" customWidth="1"/>
    <col min="18" max="18" width="23" style="3" customWidth="1"/>
    <col min="19" max="19" width="11" style="3"/>
    <col min="20" max="20" width="18.625" style="3" customWidth="1"/>
    <col min="21" max="21" width="19.625" style="3" customWidth="1"/>
    <col min="22" max="22" width="18.25" style="3" customWidth="1"/>
    <col min="23" max="23" width="22.125" style="3" customWidth="1"/>
    <col min="24" max="16384" width="11" style="3"/>
  </cols>
  <sheetData>
    <row r="1" spans="1:7 1171:1171 16346:16346" ht="55.5" customHeight="1">
      <c r="A1" s="631" t="s">
        <v>308</v>
      </c>
      <c r="B1" s="631"/>
      <c r="C1" s="631"/>
      <c r="D1" s="631"/>
      <c r="E1" s="631"/>
      <c r="F1" s="631"/>
      <c r="G1" s="631"/>
      <c r="ASA1" s="38"/>
    </row>
    <row r="2" spans="1:7 1171:1171 16346:16346">
      <c r="A2" s="17" t="s">
        <v>309</v>
      </c>
      <c r="B2" s="208" t="str">
        <f>IF(ID=0," ",ID)</f>
        <v xml:space="preserve"> </v>
      </c>
      <c r="C2" s="208"/>
      <c r="D2" s="208"/>
      <c r="E2" s="208"/>
      <c r="F2" s="208"/>
      <c r="G2" s="51"/>
    </row>
    <row r="3" spans="1:7 1171:1171 16346:16346" ht="19.5" customHeight="1">
      <c r="A3" s="17" t="s">
        <v>310</v>
      </c>
      <c r="B3" s="632" t="str">
        <f>IF(ORGN=0," ",ORGN)</f>
        <v xml:space="preserve"> </v>
      </c>
      <c r="C3" s="632"/>
      <c r="D3" s="632"/>
      <c r="E3" s="632"/>
      <c r="F3" s="632"/>
      <c r="G3" s="632"/>
    </row>
    <row r="4" spans="1:7 1171:1171 16346:16346" ht="102" customHeight="1">
      <c r="A4" s="17" t="s">
        <v>311</v>
      </c>
      <c r="B4" s="632" t="str">
        <f>IF(ORGADD=0," ",ORGADD)</f>
        <v xml:space="preserve"> </v>
      </c>
      <c r="C4" s="632"/>
      <c r="D4" s="632"/>
      <c r="E4" s="632"/>
      <c r="F4" s="632"/>
      <c r="G4" s="632"/>
    </row>
    <row r="5" spans="1:7 1171:1171 16346:16346" ht="19.5" customHeight="1">
      <c r="A5" s="17" t="s">
        <v>313</v>
      </c>
      <c r="B5" s="632" t="str">
        <f>IF(CONTACTPERS=0," ",CONTACTPERS)</f>
        <v xml:space="preserve"> </v>
      </c>
      <c r="C5" s="632"/>
      <c r="D5" s="52" t="s">
        <v>53</v>
      </c>
      <c r="E5" s="632" t="str">
        <f>IF(CONTACTNUM=0," ",CONTACTNUM)</f>
        <v xml:space="preserve"> </v>
      </c>
      <c r="F5" s="632"/>
      <c r="G5" s="632"/>
    </row>
    <row r="6" spans="1:7 1171:1171 16346:16346" ht="27" customHeight="1">
      <c r="A6" s="661" t="s">
        <v>314</v>
      </c>
      <c r="B6" s="656" t="str">
        <f>IF(EMPLOYEENUM=0," ",EMPLOYEENUM)</f>
        <v xml:space="preserve"> </v>
      </c>
      <c r="C6" s="657"/>
      <c r="D6" s="52" t="s">
        <v>315</v>
      </c>
      <c r="E6" s="633" t="s">
        <v>316</v>
      </c>
      <c r="F6" s="634"/>
      <c r="G6" s="635"/>
    </row>
    <row r="7" spans="1:7 1171:1171 16346:16346">
      <c r="A7" s="662"/>
      <c r="B7" s="658"/>
      <c r="C7" s="659"/>
      <c r="D7" s="52" t="s">
        <v>317</v>
      </c>
      <c r="E7" s="633" t="s">
        <v>318</v>
      </c>
      <c r="F7" s="634"/>
      <c r="G7" s="635"/>
    </row>
    <row r="8" spans="1:7 1171:1171 16346:16346" ht="26.25" customHeight="1">
      <c r="A8" s="17" t="s">
        <v>319</v>
      </c>
      <c r="B8" s="53" t="str">
        <f>IF(STANDARD=0," ",STANDARD)</f>
        <v xml:space="preserve"> </v>
      </c>
      <c r="C8" s="53"/>
      <c r="D8" s="53"/>
      <c r="E8" s="636"/>
      <c r="F8" s="636"/>
      <c r="G8" s="636"/>
    </row>
    <row r="9" spans="1:7 1171:1171 16346:16346" ht="35.1" customHeight="1">
      <c r="A9" s="17" t="s">
        <v>320</v>
      </c>
      <c r="B9" s="637" t="str">
        <f>IF(MOA=0," ",MOA)</f>
        <v xml:space="preserve"> </v>
      </c>
      <c r="C9" s="638"/>
      <c r="D9" s="54" t="s">
        <v>321</v>
      </c>
      <c r="E9" s="639" t="str">
        <f>IF(OML=0," ",OML)</f>
        <v xml:space="preserve"> </v>
      </c>
      <c r="F9" s="639"/>
      <c r="G9" s="639"/>
    </row>
    <row r="10" spans="1:7 1171:1171 16346:16346" ht="110.25" customHeight="1">
      <c r="A10" s="17" t="s">
        <v>322</v>
      </c>
      <c r="B10" s="632" t="str">
        <f>IF(SCOPE=0," ",SCOPE)</f>
        <v xml:space="preserve"> </v>
      </c>
      <c r="C10" s="632"/>
      <c r="D10" s="632"/>
      <c r="E10" s="632"/>
      <c r="F10" s="632"/>
      <c r="G10" s="632"/>
    </row>
    <row r="11" spans="1:7 1171:1171 16346:16346" ht="19.5" customHeight="1">
      <c r="A11" s="17" t="s">
        <v>324</v>
      </c>
      <c r="B11" s="640" t="s">
        <v>325</v>
      </c>
      <c r="C11" s="640"/>
      <c r="D11" s="640"/>
      <c r="E11" s="640"/>
      <c r="F11" s="640"/>
      <c r="G11" s="640"/>
      <c r="XDR11" s="655"/>
    </row>
    <row r="12" spans="1:7 1171:1171 16346:16346" ht="19.5" customHeight="1">
      <c r="A12" s="17" t="s">
        <v>328</v>
      </c>
      <c r="B12" s="633" t="str">
        <f>IF(IAFCODE=0," ",IAFCODE)</f>
        <v xml:space="preserve"> </v>
      </c>
      <c r="C12" s="634"/>
      <c r="D12" s="634"/>
      <c r="E12" s="634"/>
      <c r="F12" s="634"/>
      <c r="G12" s="635"/>
      <c r="XDR12" s="655"/>
    </row>
    <row r="13" spans="1:7 1171:1171 16346:16346">
      <c r="A13" s="663" t="s">
        <v>329</v>
      </c>
      <c r="B13" s="641" t="s">
        <v>330</v>
      </c>
      <c r="C13" s="641"/>
      <c r="D13" s="641"/>
      <c r="E13" s="641"/>
      <c r="F13" s="641"/>
      <c r="G13" s="56"/>
    </row>
    <row r="14" spans="1:7 1171:1171 16346:16346">
      <c r="A14" s="663"/>
      <c r="B14" s="641" t="s">
        <v>333</v>
      </c>
      <c r="C14" s="641"/>
      <c r="D14" s="642"/>
      <c r="E14" s="642"/>
      <c r="F14" s="642"/>
      <c r="G14" s="642"/>
    </row>
    <row r="15" spans="1:7 1171:1171 16346:16346" ht="30">
      <c r="A15" s="663"/>
      <c r="B15" s="641" t="s">
        <v>336</v>
      </c>
      <c r="C15" s="641"/>
      <c r="D15" s="60"/>
      <c r="E15" s="36" t="s">
        <v>337</v>
      </c>
      <c r="F15" s="649"/>
      <c r="G15" s="650"/>
    </row>
    <row r="16" spans="1:7 1171:1171 16346:16346" ht="19.5" customHeight="1">
      <c r="A16" s="651" t="s">
        <v>340</v>
      </c>
      <c r="B16" s="651"/>
      <c r="C16" s="651"/>
      <c r="D16" s="651"/>
      <c r="E16" s="651"/>
      <c r="F16" s="651"/>
      <c r="G16" s="61"/>
    </row>
    <row r="17" spans="1:7">
      <c r="A17" s="652" t="s">
        <v>343</v>
      </c>
      <c r="B17" s="652"/>
      <c r="C17" s="652"/>
      <c r="D17" s="652"/>
      <c r="E17" s="652"/>
      <c r="F17" s="652"/>
      <c r="G17" s="652"/>
    </row>
    <row r="18" spans="1:7">
      <c r="A18" s="218" t="s">
        <v>346</v>
      </c>
      <c r="B18" s="220"/>
      <c r="C18" s="218" t="s">
        <v>347</v>
      </c>
      <c r="D18" s="220"/>
      <c r="E18" s="197" t="s">
        <v>348</v>
      </c>
      <c r="F18" s="197"/>
      <c r="G18" s="197"/>
    </row>
    <row r="19" spans="1:7">
      <c r="A19" s="224"/>
      <c r="B19" s="226"/>
      <c r="C19" s="224"/>
      <c r="D19" s="226"/>
      <c r="E19" s="4" t="s">
        <v>351</v>
      </c>
      <c r="F19" s="197" t="s">
        <v>352</v>
      </c>
      <c r="G19" s="197"/>
    </row>
    <row r="20" spans="1:7">
      <c r="A20" s="648" t="s">
        <v>355</v>
      </c>
      <c r="B20" s="647"/>
      <c r="C20" s="653" t="str">
        <f>IF(ROLE1=0," ",ROLE1)</f>
        <v xml:space="preserve"> </v>
      </c>
      <c r="D20" s="653"/>
      <c r="E20" s="62" t="e">
        <f>#REF!</f>
        <v>#REF!</v>
      </c>
      <c r="F20" s="654" t="e">
        <f>#REF!</f>
        <v>#REF!</v>
      </c>
      <c r="G20" s="654"/>
    </row>
    <row r="21" spans="1:7">
      <c r="A21" s="648" t="s">
        <v>358</v>
      </c>
      <c r="B21" s="647"/>
      <c r="C21" s="643" t="str">
        <f>IF(ROLE2=0," ",ROLE2)</f>
        <v xml:space="preserve"> </v>
      </c>
      <c r="D21" s="643"/>
      <c r="E21" s="62"/>
      <c r="F21" s="654"/>
      <c r="G21" s="654"/>
    </row>
    <row r="22" spans="1:7">
      <c r="A22" s="648" t="str">
        <f>IF(AUDITOR3=0," ",AUDITOR3)</f>
        <v xml:space="preserve"> </v>
      </c>
      <c r="B22" s="647"/>
      <c r="C22" s="643" t="str">
        <f>IF(ROLE3=0," ",ROLE3)</f>
        <v xml:space="preserve"> </v>
      </c>
      <c r="D22" s="643"/>
      <c r="E22" s="63"/>
      <c r="F22" s="644" t="str">
        <f>IF(ST2MANDAY3=0," ",ST2MANDAY3)</f>
        <v xml:space="preserve"> </v>
      </c>
      <c r="G22" s="645"/>
    </row>
    <row r="23" spans="1:7" ht="30" customHeight="1">
      <c r="A23" s="646" t="s">
        <v>363</v>
      </c>
      <c r="B23" s="647"/>
      <c r="C23" s="643" t="str">
        <f>IF(ROLE4=0," ",ROLE4)</f>
        <v xml:space="preserve"> </v>
      </c>
      <c r="D23" s="643"/>
      <c r="E23" s="63"/>
      <c r="F23" s="644" t="str">
        <f>IF(ST2MANDAY4=0," ",ST2MANDAY4)</f>
        <v xml:space="preserve"> </v>
      </c>
      <c r="G23" s="645"/>
    </row>
    <row r="24" spans="1:7">
      <c r="A24" s="648" t="s">
        <v>366</v>
      </c>
      <c r="B24" s="647"/>
      <c r="C24" s="643"/>
      <c r="D24" s="643"/>
      <c r="E24" s="63"/>
      <c r="F24" s="644"/>
      <c r="G24" s="645"/>
    </row>
    <row r="25" spans="1:7" ht="13.5" customHeight="1">
      <c r="A25" s="669" t="s">
        <v>370</v>
      </c>
      <c r="B25" s="670"/>
      <c r="C25" s="670"/>
      <c r="D25" s="670"/>
      <c r="E25" s="39" t="e">
        <f>SUM(E20:E23)</f>
        <v>#REF!</v>
      </c>
      <c r="F25" s="204" t="e">
        <f>SUM(F20:G24)</f>
        <v>#REF!</v>
      </c>
      <c r="G25" s="206"/>
    </row>
    <row r="26" spans="1:7" ht="13.5" customHeight="1">
      <c r="A26" s="651" t="s">
        <v>371</v>
      </c>
      <c r="B26" s="651"/>
      <c r="C26" s="651"/>
      <c r="D26" s="651"/>
      <c r="E26" s="651"/>
      <c r="F26" s="651" t="e">
        <f>SUM(E25+F25)</f>
        <v>#REF!</v>
      </c>
      <c r="G26" s="651"/>
    </row>
    <row r="27" spans="1:7" ht="15.75" customHeight="1">
      <c r="A27" s="671" t="s">
        <v>372</v>
      </c>
      <c r="B27" s="672"/>
      <c r="C27" s="672"/>
      <c r="D27" s="672"/>
      <c r="E27" s="672"/>
      <c r="F27" s="672"/>
      <c r="G27" s="673"/>
    </row>
    <row r="28" spans="1:7" ht="18" customHeight="1">
      <c r="A28" s="652" t="s">
        <v>373</v>
      </c>
      <c r="B28" s="652"/>
      <c r="C28" s="652"/>
      <c r="D28" s="652"/>
      <c r="E28" s="652"/>
      <c r="F28" s="652"/>
      <c r="G28" s="652"/>
    </row>
    <row r="29" spans="1:7">
      <c r="A29" s="208" t="s">
        <v>374</v>
      </c>
      <c r="B29" s="208"/>
      <c r="C29" s="208"/>
      <c r="D29" s="208" t="s">
        <v>375</v>
      </c>
      <c r="E29" s="208"/>
      <c r="F29" s="208"/>
      <c r="G29" s="208"/>
    </row>
    <row r="30" spans="1:7" ht="19.5" customHeight="1">
      <c r="A30" s="67" t="str">
        <f>IF(ST1AUDDATE1=0," ",ST1AUDDATE1)</f>
        <v xml:space="preserve"> </v>
      </c>
      <c r="B30" s="68" t="s">
        <v>376</v>
      </c>
      <c r="C30" s="67" t="str">
        <f>IF(ST1AUDDATE2=0," ",ST1AUDDATE2)</f>
        <v xml:space="preserve"> </v>
      </c>
      <c r="D30" s="67" t="str">
        <f>IF(ST2AUDDATE1=0," ",ST2AUDDATE1)</f>
        <v xml:space="preserve"> </v>
      </c>
      <c r="E30" s="69" t="s">
        <v>376</v>
      </c>
      <c r="F30" s="667" t="str">
        <f>IF(ST2AUDDATE2=0," ",ST2AUDDATE2)</f>
        <v xml:space="preserve"> </v>
      </c>
      <c r="G30" s="668"/>
    </row>
    <row r="31" spans="1:7" ht="54" customHeight="1">
      <c r="A31" s="651" t="s">
        <v>377</v>
      </c>
      <c r="B31" s="651"/>
      <c r="C31" s="651"/>
      <c r="D31" s="651"/>
      <c r="E31" s="651"/>
      <c r="F31" s="651"/>
      <c r="G31" s="651"/>
    </row>
    <row r="32" spans="1:7">
      <c r="A32" s="18" t="s">
        <v>378</v>
      </c>
      <c r="B32" s="208" t="str">
        <f>IF(RN=0," ",RN)</f>
        <v xml:space="preserve"> </v>
      </c>
      <c r="C32" s="208"/>
      <c r="D32" s="208" t="s">
        <v>379</v>
      </c>
      <c r="E32" s="208"/>
      <c r="F32" s="208" t="s">
        <v>380</v>
      </c>
      <c r="G32" s="208"/>
    </row>
    <row r="33" spans="1:7" ht="35.25" customHeight="1">
      <c r="A33" s="63" t="s">
        <v>381</v>
      </c>
      <c r="B33" s="664" t="str">
        <f>IF(APPRD=0," ",APPRD)</f>
        <v xml:space="preserve"> </v>
      </c>
      <c r="C33" s="654"/>
      <c r="D33" s="665" t="s">
        <v>381</v>
      </c>
      <c r="E33" s="665"/>
      <c r="F33" s="666" t="e">
        <f>(CC1DESIG+1)</f>
        <v>#VALUE!</v>
      </c>
      <c r="G33" s="665"/>
    </row>
    <row r="34" spans="1:7" ht="15.75" thickBot="1">
      <c r="A34" s="660" t="s">
        <v>382</v>
      </c>
      <c r="B34" s="660"/>
      <c r="C34" s="660"/>
      <c r="D34" s="660"/>
      <c r="E34" s="660"/>
      <c r="F34" s="660"/>
      <c r="G34" s="660"/>
    </row>
    <row r="35" spans="1:7" ht="21.75" thickBot="1">
      <c r="A35" s="625" t="s">
        <v>866</v>
      </c>
      <c r="B35" s="626"/>
      <c r="C35" s="626"/>
      <c r="D35" s="626"/>
      <c r="E35" s="626"/>
      <c r="F35" s="627"/>
    </row>
    <row r="36" spans="1:7" ht="19.5" thickBot="1">
      <c r="A36" s="628" t="s">
        <v>323</v>
      </c>
      <c r="B36" s="629"/>
      <c r="C36" s="629"/>
      <c r="D36" s="630"/>
    </row>
    <row r="37" spans="1:7" ht="15.75" thickTop="1">
      <c r="A37" s="611" t="s">
        <v>326</v>
      </c>
      <c r="B37" s="621" t="s">
        <v>327</v>
      </c>
      <c r="C37" s="621" t="s">
        <v>326</v>
      </c>
      <c r="D37" s="623" t="s">
        <v>327</v>
      </c>
    </row>
    <row r="38" spans="1:7">
      <c r="A38" s="612"/>
      <c r="B38" s="622"/>
      <c r="C38" s="622"/>
      <c r="D38" s="624"/>
    </row>
    <row r="39" spans="1:7" ht="111" customHeight="1">
      <c r="A39" s="57" t="s">
        <v>331</v>
      </c>
      <c r="B39" s="58">
        <v>1.5</v>
      </c>
      <c r="C39" s="58" t="s">
        <v>332</v>
      </c>
      <c r="D39" s="59">
        <v>12</v>
      </c>
    </row>
    <row r="40" spans="1:7" ht="77.099999999999994" customHeight="1">
      <c r="A40" s="57" t="s">
        <v>334</v>
      </c>
      <c r="B40" s="58">
        <v>2</v>
      </c>
      <c r="C40" s="58" t="s">
        <v>335</v>
      </c>
      <c r="D40" s="59">
        <v>13</v>
      </c>
    </row>
    <row r="41" spans="1:7" ht="36.950000000000003" customHeight="1">
      <c r="A41" s="57" t="s">
        <v>338</v>
      </c>
      <c r="B41" s="58">
        <v>2.5</v>
      </c>
      <c r="C41" s="58" t="s">
        <v>339</v>
      </c>
      <c r="D41" s="59">
        <v>14</v>
      </c>
    </row>
    <row r="42" spans="1:7" ht="42" customHeight="1">
      <c r="A42" s="57" t="s">
        <v>341</v>
      </c>
      <c r="B42" s="58">
        <v>3</v>
      </c>
      <c r="C42" s="58" t="s">
        <v>342</v>
      </c>
      <c r="D42" s="59">
        <v>15</v>
      </c>
    </row>
    <row r="43" spans="1:7" ht="33" customHeight="1">
      <c r="A43" s="57" t="s">
        <v>344</v>
      </c>
      <c r="B43" s="58">
        <v>4</v>
      </c>
      <c r="C43" s="58" t="s">
        <v>345</v>
      </c>
      <c r="D43" s="59">
        <v>16</v>
      </c>
    </row>
    <row r="44" spans="1:7" ht="36" customHeight="1">
      <c r="A44" s="57" t="s">
        <v>349</v>
      </c>
      <c r="B44" s="58">
        <v>5</v>
      </c>
      <c r="C44" s="58" t="s">
        <v>350</v>
      </c>
      <c r="D44" s="59">
        <v>17</v>
      </c>
    </row>
    <row r="45" spans="1:7" ht="33" customHeight="1">
      <c r="A45" s="57" t="s">
        <v>353</v>
      </c>
      <c r="B45" s="58">
        <v>6</v>
      </c>
      <c r="C45" s="58" t="s">
        <v>354</v>
      </c>
      <c r="D45" s="59">
        <v>18</v>
      </c>
    </row>
    <row r="46" spans="1:7" ht="30.95" customHeight="1">
      <c r="A46" s="57" t="s">
        <v>356</v>
      </c>
      <c r="B46" s="58">
        <v>7</v>
      </c>
      <c r="C46" s="58" t="s">
        <v>357</v>
      </c>
      <c r="D46" s="59">
        <v>19</v>
      </c>
    </row>
    <row r="47" spans="1:7" ht="33" customHeight="1">
      <c r="A47" s="57" t="s">
        <v>359</v>
      </c>
      <c r="B47" s="58">
        <v>8</v>
      </c>
      <c r="C47" s="58" t="s">
        <v>360</v>
      </c>
      <c r="D47" s="59">
        <v>20</v>
      </c>
    </row>
    <row r="48" spans="1:7" ht="33.950000000000003" customHeight="1">
      <c r="A48" s="57" t="s">
        <v>361</v>
      </c>
      <c r="B48" s="58">
        <v>9</v>
      </c>
      <c r="C48" s="58" t="s">
        <v>362</v>
      </c>
      <c r="D48" s="59">
        <v>21</v>
      </c>
    </row>
    <row r="49" spans="1:5" ht="36" customHeight="1">
      <c r="A49" s="57" t="s">
        <v>364</v>
      </c>
      <c r="B49" s="58">
        <v>10</v>
      </c>
      <c r="C49" s="58" t="s">
        <v>365</v>
      </c>
      <c r="D49" s="59">
        <v>22</v>
      </c>
    </row>
    <row r="50" spans="1:5" ht="30.95" customHeight="1" thickBot="1">
      <c r="A50" s="64" t="s">
        <v>367</v>
      </c>
      <c r="B50" s="65">
        <v>11</v>
      </c>
      <c r="C50" s="65" t="s">
        <v>368</v>
      </c>
      <c r="D50" s="66" t="s">
        <v>369</v>
      </c>
    </row>
    <row r="51" spans="1:5" ht="30.95" customHeight="1" thickBot="1">
      <c r="A51" s="615" t="s">
        <v>867</v>
      </c>
      <c r="B51" s="616"/>
      <c r="C51" s="616"/>
      <c r="D51" s="616"/>
      <c r="E51" s="617"/>
    </row>
    <row r="52" spans="1:5" ht="30.95" customHeight="1" thickBot="1">
      <c r="A52" s="618" t="s">
        <v>868</v>
      </c>
      <c r="B52" s="619"/>
      <c r="C52" s="619"/>
      <c r="D52" s="619"/>
      <c r="E52" s="620"/>
    </row>
    <row r="53" spans="1:5" ht="30" customHeight="1" thickTop="1">
      <c r="A53" s="611" t="s">
        <v>869</v>
      </c>
      <c r="B53" s="621" t="s">
        <v>870</v>
      </c>
      <c r="C53" s="621" t="s">
        <v>871</v>
      </c>
      <c r="D53" s="621" t="s">
        <v>872</v>
      </c>
      <c r="E53" s="623" t="s">
        <v>873</v>
      </c>
    </row>
    <row r="54" spans="1:5" ht="36.950000000000003" customHeight="1">
      <c r="A54" s="612"/>
      <c r="B54" s="622"/>
      <c r="C54" s="622"/>
      <c r="D54" s="622"/>
      <c r="E54" s="624"/>
    </row>
    <row r="55" spans="1:5" ht="36" customHeight="1">
      <c r="A55" s="150" t="s">
        <v>331</v>
      </c>
      <c r="B55" s="151">
        <v>3</v>
      </c>
      <c r="C55" s="151">
        <v>2.5</v>
      </c>
      <c r="D55" s="151">
        <v>2.5</v>
      </c>
      <c r="E55" s="152">
        <v>2.5</v>
      </c>
    </row>
    <row r="56" spans="1:5" ht="33.950000000000003" customHeight="1">
      <c r="A56" s="150" t="s">
        <v>334</v>
      </c>
      <c r="B56" s="151">
        <v>3.5</v>
      </c>
      <c r="C56" s="151">
        <v>3</v>
      </c>
      <c r="D56" s="151">
        <v>3</v>
      </c>
      <c r="E56" s="152">
        <v>3</v>
      </c>
    </row>
    <row r="57" spans="1:5" ht="38.1" customHeight="1">
      <c r="A57" s="150" t="s">
        <v>338</v>
      </c>
      <c r="B57" s="151">
        <v>4.5</v>
      </c>
      <c r="C57" s="151">
        <v>3.5</v>
      </c>
      <c r="D57" s="151">
        <v>3</v>
      </c>
      <c r="E57" s="152">
        <v>3</v>
      </c>
    </row>
    <row r="58" spans="1:5" ht="38.1" customHeight="1">
      <c r="A58" s="150" t="s">
        <v>341</v>
      </c>
      <c r="B58" s="151">
        <v>5.5</v>
      </c>
      <c r="C58" s="151">
        <v>4.5</v>
      </c>
      <c r="D58" s="151">
        <v>3.5</v>
      </c>
      <c r="E58" s="152">
        <v>3</v>
      </c>
    </row>
    <row r="59" spans="1:5" ht="30.95" customHeight="1">
      <c r="A59" s="150" t="s">
        <v>344</v>
      </c>
      <c r="B59" s="151">
        <v>7</v>
      </c>
      <c r="C59" s="151">
        <v>5.5</v>
      </c>
      <c r="D59" s="151">
        <v>4</v>
      </c>
      <c r="E59" s="152">
        <v>3</v>
      </c>
    </row>
    <row r="60" spans="1:5" ht="35.1" customHeight="1">
      <c r="A60" s="150" t="s">
        <v>349</v>
      </c>
      <c r="B60" s="151">
        <v>8</v>
      </c>
      <c r="C60" s="151">
        <v>6</v>
      </c>
      <c r="D60" s="151">
        <v>4.5</v>
      </c>
      <c r="E60" s="152">
        <v>3.5</v>
      </c>
    </row>
    <row r="61" spans="1:5" ht="33.950000000000003" customHeight="1">
      <c r="A61" s="150" t="s">
        <v>353</v>
      </c>
      <c r="B61" s="151">
        <v>9</v>
      </c>
      <c r="C61" s="151">
        <v>7</v>
      </c>
      <c r="D61" s="151">
        <v>5</v>
      </c>
      <c r="E61" s="152">
        <v>3.5</v>
      </c>
    </row>
    <row r="62" spans="1:5" ht="32.1" customHeight="1">
      <c r="A62" s="150" t="s">
        <v>356</v>
      </c>
      <c r="B62" s="151">
        <v>11</v>
      </c>
      <c r="C62" s="151">
        <v>8</v>
      </c>
      <c r="D62" s="151">
        <v>5.5</v>
      </c>
      <c r="E62" s="152">
        <v>4</v>
      </c>
    </row>
    <row r="63" spans="1:5">
      <c r="A63" s="150" t="s">
        <v>359</v>
      </c>
      <c r="B63" s="151">
        <v>12</v>
      </c>
      <c r="C63" s="151">
        <v>9</v>
      </c>
      <c r="D63" s="151">
        <v>6</v>
      </c>
      <c r="E63" s="152">
        <v>4.5</v>
      </c>
    </row>
    <row r="64" spans="1:5">
      <c r="A64" s="150" t="s">
        <v>361</v>
      </c>
      <c r="B64" s="151">
        <v>13</v>
      </c>
      <c r="C64" s="151">
        <v>10</v>
      </c>
      <c r="D64" s="151">
        <v>7</v>
      </c>
      <c r="E64" s="152">
        <v>5</v>
      </c>
    </row>
    <row r="65" spans="1:5">
      <c r="A65" s="150" t="s">
        <v>364</v>
      </c>
      <c r="B65" s="151">
        <v>15</v>
      </c>
      <c r="C65" s="151">
        <v>11</v>
      </c>
      <c r="D65" s="151">
        <v>8</v>
      </c>
      <c r="E65" s="152">
        <v>5.5</v>
      </c>
    </row>
    <row r="66" spans="1:5">
      <c r="A66" s="150" t="s">
        <v>367</v>
      </c>
      <c r="B66" s="151">
        <v>16</v>
      </c>
      <c r="C66" s="151">
        <v>12</v>
      </c>
      <c r="D66" s="151">
        <v>9</v>
      </c>
      <c r="E66" s="152">
        <v>6</v>
      </c>
    </row>
    <row r="67" spans="1:5">
      <c r="A67" s="150" t="s">
        <v>332</v>
      </c>
      <c r="B67" s="151">
        <v>17</v>
      </c>
      <c r="C67" s="151">
        <v>13</v>
      </c>
      <c r="D67" s="151">
        <v>10</v>
      </c>
      <c r="E67" s="152">
        <v>6.5</v>
      </c>
    </row>
    <row r="68" spans="1:5">
      <c r="A68" s="150" t="s">
        <v>335</v>
      </c>
      <c r="B68" s="151">
        <v>19</v>
      </c>
      <c r="C68" s="151">
        <v>15</v>
      </c>
      <c r="D68" s="151">
        <v>11</v>
      </c>
      <c r="E68" s="152">
        <v>7</v>
      </c>
    </row>
    <row r="69" spans="1:5">
      <c r="A69" s="150" t="s">
        <v>339</v>
      </c>
      <c r="B69" s="151">
        <v>20</v>
      </c>
      <c r="C69" s="151">
        <v>16</v>
      </c>
      <c r="D69" s="151">
        <v>12</v>
      </c>
      <c r="E69" s="152">
        <v>7.5</v>
      </c>
    </row>
    <row r="70" spans="1:5">
      <c r="A70" s="150" t="s">
        <v>342</v>
      </c>
      <c r="B70" s="151">
        <v>21</v>
      </c>
      <c r="C70" s="151">
        <v>17</v>
      </c>
      <c r="D70" s="151">
        <v>12</v>
      </c>
      <c r="E70" s="152">
        <v>8</v>
      </c>
    </row>
    <row r="71" spans="1:5">
      <c r="A71" s="150" t="s">
        <v>345</v>
      </c>
      <c r="B71" s="151">
        <v>23</v>
      </c>
      <c r="C71" s="151">
        <v>18</v>
      </c>
      <c r="D71" s="151">
        <v>13</v>
      </c>
      <c r="E71" s="152">
        <v>8.5</v>
      </c>
    </row>
    <row r="72" spans="1:5">
      <c r="A72" s="150" t="s">
        <v>350</v>
      </c>
      <c r="B72" s="151">
        <v>25</v>
      </c>
      <c r="C72" s="151">
        <v>19</v>
      </c>
      <c r="D72" s="151">
        <v>14</v>
      </c>
      <c r="E72" s="152">
        <v>9</v>
      </c>
    </row>
    <row r="73" spans="1:5">
      <c r="A73" s="150" t="s">
        <v>354</v>
      </c>
      <c r="B73" s="151">
        <v>27</v>
      </c>
      <c r="C73" s="151">
        <v>20</v>
      </c>
      <c r="D73" s="151">
        <v>15</v>
      </c>
      <c r="E73" s="152">
        <v>10</v>
      </c>
    </row>
    <row r="74" spans="1:5">
      <c r="A74" s="150" t="s">
        <v>357</v>
      </c>
      <c r="B74" s="151">
        <v>28</v>
      </c>
      <c r="C74" s="151">
        <v>21</v>
      </c>
      <c r="D74" s="151">
        <v>16</v>
      </c>
      <c r="E74" s="152">
        <v>11</v>
      </c>
    </row>
    <row r="75" spans="1:5">
      <c r="A75" s="150" t="s">
        <v>360</v>
      </c>
      <c r="B75" s="151">
        <v>30</v>
      </c>
      <c r="C75" s="151">
        <v>23</v>
      </c>
      <c r="D75" s="151">
        <v>17</v>
      </c>
      <c r="E75" s="152">
        <v>12</v>
      </c>
    </row>
    <row r="76" spans="1:5">
      <c r="A76" s="150" t="s">
        <v>362</v>
      </c>
      <c r="B76" s="151">
        <v>32</v>
      </c>
      <c r="C76" s="151">
        <v>25</v>
      </c>
      <c r="D76" s="151">
        <v>19</v>
      </c>
      <c r="E76" s="152">
        <v>13</v>
      </c>
    </row>
    <row r="77" spans="1:5">
      <c r="A77" s="150" t="s">
        <v>365</v>
      </c>
      <c r="B77" s="151">
        <v>34</v>
      </c>
      <c r="C77" s="151">
        <v>27</v>
      </c>
      <c r="D77" s="151">
        <v>20</v>
      </c>
      <c r="E77" s="152">
        <v>14</v>
      </c>
    </row>
    <row r="78" spans="1:5" ht="15.75" thickBot="1">
      <c r="A78" s="153" t="s">
        <v>368</v>
      </c>
      <c r="B78" s="602" t="s">
        <v>369</v>
      </c>
      <c r="C78" s="603"/>
      <c r="D78" s="603"/>
      <c r="E78" s="604"/>
    </row>
    <row r="79" spans="1:5" ht="21.75" thickBot="1">
      <c r="A79" s="605" t="s">
        <v>874</v>
      </c>
      <c r="B79" s="606"/>
      <c r="C79" s="606"/>
      <c r="D79" s="607"/>
      <c r="E79" s="154"/>
    </row>
    <row r="80" spans="1:5" ht="16.5" thickBot="1">
      <c r="A80" s="608" t="s">
        <v>875</v>
      </c>
      <c r="B80" s="609"/>
      <c r="C80" s="609"/>
      <c r="D80" s="610"/>
    </row>
    <row r="81" spans="1:4">
      <c r="A81" s="611" t="s">
        <v>326</v>
      </c>
      <c r="B81" s="611" t="s">
        <v>870</v>
      </c>
      <c r="C81" s="611" t="s">
        <v>871</v>
      </c>
      <c r="D81" s="613" t="s">
        <v>872</v>
      </c>
    </row>
    <row r="82" spans="1:4">
      <c r="A82" s="612"/>
      <c r="B82" s="612"/>
      <c r="C82" s="612"/>
      <c r="D82" s="614"/>
    </row>
    <row r="83" spans="1:4">
      <c r="A83" s="155" t="s">
        <v>331</v>
      </c>
      <c r="B83" s="156">
        <v>3</v>
      </c>
      <c r="C83" s="156">
        <v>2.5</v>
      </c>
      <c r="D83" s="157">
        <v>2.5</v>
      </c>
    </row>
    <row r="84" spans="1:4">
      <c r="A84" s="155" t="s">
        <v>334</v>
      </c>
      <c r="B84" s="156">
        <v>3.5</v>
      </c>
      <c r="C84" s="156">
        <v>3</v>
      </c>
      <c r="D84" s="157">
        <v>3</v>
      </c>
    </row>
    <row r="85" spans="1:4">
      <c r="A85" s="155" t="s">
        <v>338</v>
      </c>
      <c r="B85" s="156">
        <v>4.5</v>
      </c>
      <c r="C85" s="156">
        <v>3.5</v>
      </c>
      <c r="D85" s="157">
        <v>3</v>
      </c>
    </row>
    <row r="86" spans="1:4">
      <c r="A86" s="155" t="s">
        <v>341</v>
      </c>
      <c r="B86" s="156">
        <v>5.5</v>
      </c>
      <c r="C86" s="156">
        <v>4.5</v>
      </c>
      <c r="D86" s="157">
        <v>3.5</v>
      </c>
    </row>
    <row r="87" spans="1:4">
      <c r="A87" s="155" t="s">
        <v>344</v>
      </c>
      <c r="B87" s="156">
        <v>7</v>
      </c>
      <c r="C87" s="156">
        <v>5.5</v>
      </c>
      <c r="D87" s="157">
        <v>4</v>
      </c>
    </row>
    <row r="88" spans="1:4">
      <c r="A88" s="155" t="s">
        <v>349</v>
      </c>
      <c r="B88" s="156">
        <v>8</v>
      </c>
      <c r="C88" s="156">
        <v>6</v>
      </c>
      <c r="D88" s="157">
        <v>4.5</v>
      </c>
    </row>
    <row r="89" spans="1:4">
      <c r="A89" s="155" t="s">
        <v>353</v>
      </c>
      <c r="B89" s="156">
        <v>9</v>
      </c>
      <c r="C89" s="156">
        <v>7</v>
      </c>
      <c r="D89" s="157">
        <v>5</v>
      </c>
    </row>
    <row r="90" spans="1:4">
      <c r="A90" s="155" t="s">
        <v>356</v>
      </c>
      <c r="B90" s="156">
        <v>11</v>
      </c>
      <c r="C90" s="156">
        <v>8</v>
      </c>
      <c r="D90" s="157">
        <v>5.5</v>
      </c>
    </row>
    <row r="91" spans="1:4">
      <c r="A91" s="155" t="s">
        <v>359</v>
      </c>
      <c r="B91" s="156">
        <v>12</v>
      </c>
      <c r="C91" s="156">
        <v>9</v>
      </c>
      <c r="D91" s="157">
        <v>6</v>
      </c>
    </row>
    <row r="92" spans="1:4">
      <c r="A92" s="155" t="s">
        <v>361</v>
      </c>
      <c r="B92" s="156">
        <v>13</v>
      </c>
      <c r="C92" s="156">
        <v>10</v>
      </c>
      <c r="D92" s="157">
        <v>7</v>
      </c>
    </row>
    <row r="93" spans="1:4">
      <c r="A93" s="155" t="s">
        <v>364</v>
      </c>
      <c r="B93" s="156">
        <v>15</v>
      </c>
      <c r="C93" s="156">
        <v>11</v>
      </c>
      <c r="D93" s="157">
        <v>8</v>
      </c>
    </row>
    <row r="94" spans="1:4">
      <c r="A94" s="155" t="s">
        <v>367</v>
      </c>
      <c r="B94" s="156">
        <v>16</v>
      </c>
      <c r="C94" s="156">
        <v>12</v>
      </c>
      <c r="D94" s="157">
        <v>9</v>
      </c>
    </row>
    <row r="95" spans="1:4">
      <c r="A95" s="155" t="s">
        <v>332</v>
      </c>
      <c r="B95" s="156">
        <v>17</v>
      </c>
      <c r="C95" s="156">
        <v>13</v>
      </c>
      <c r="D95" s="157">
        <v>10</v>
      </c>
    </row>
    <row r="96" spans="1:4">
      <c r="A96" s="155" t="s">
        <v>335</v>
      </c>
      <c r="B96" s="156">
        <v>19</v>
      </c>
      <c r="C96" s="156">
        <v>15</v>
      </c>
      <c r="D96" s="157">
        <v>11</v>
      </c>
    </row>
    <row r="97" spans="1:8">
      <c r="A97" s="155" t="s">
        <v>339</v>
      </c>
      <c r="B97" s="156">
        <v>20</v>
      </c>
      <c r="C97" s="156">
        <v>16</v>
      </c>
      <c r="D97" s="157">
        <v>12</v>
      </c>
    </row>
    <row r="98" spans="1:8">
      <c r="A98" s="155" t="s">
        <v>342</v>
      </c>
      <c r="B98" s="156">
        <v>21</v>
      </c>
      <c r="C98" s="156">
        <v>17</v>
      </c>
      <c r="D98" s="157">
        <v>12</v>
      </c>
    </row>
    <row r="99" spans="1:8">
      <c r="A99" s="155" t="s">
        <v>345</v>
      </c>
      <c r="B99" s="156">
        <v>23</v>
      </c>
      <c r="C99" s="156">
        <v>18</v>
      </c>
      <c r="D99" s="157">
        <v>13</v>
      </c>
    </row>
    <row r="100" spans="1:8">
      <c r="A100" s="155" t="s">
        <v>350</v>
      </c>
      <c r="B100" s="156">
        <v>25</v>
      </c>
      <c r="C100" s="156">
        <v>19</v>
      </c>
      <c r="D100" s="157">
        <v>14</v>
      </c>
    </row>
    <row r="101" spans="1:8">
      <c r="A101" s="155" t="s">
        <v>354</v>
      </c>
      <c r="B101" s="156">
        <v>27</v>
      </c>
      <c r="C101" s="156">
        <v>20</v>
      </c>
      <c r="D101" s="157">
        <v>15</v>
      </c>
    </row>
    <row r="102" spans="1:8">
      <c r="A102" s="155" t="s">
        <v>357</v>
      </c>
      <c r="B102" s="156">
        <v>28</v>
      </c>
      <c r="C102" s="156">
        <v>21</v>
      </c>
      <c r="D102" s="157">
        <v>16</v>
      </c>
    </row>
    <row r="103" spans="1:8">
      <c r="A103" s="155" t="s">
        <v>360</v>
      </c>
      <c r="B103" s="156">
        <v>30</v>
      </c>
      <c r="C103" s="156">
        <v>23</v>
      </c>
      <c r="D103" s="157">
        <v>17</v>
      </c>
    </row>
    <row r="104" spans="1:8">
      <c r="A104" s="155" t="s">
        <v>362</v>
      </c>
      <c r="B104" s="156">
        <v>32</v>
      </c>
      <c r="C104" s="156">
        <v>25</v>
      </c>
      <c r="D104" s="157">
        <v>19</v>
      </c>
    </row>
    <row r="105" spans="1:8">
      <c r="A105" s="155" t="s">
        <v>365</v>
      </c>
      <c r="B105" s="156">
        <v>34</v>
      </c>
      <c r="C105" s="156">
        <v>27</v>
      </c>
      <c r="D105" s="157">
        <v>20</v>
      </c>
    </row>
    <row r="106" spans="1:8" ht="15.75" thickBot="1">
      <c r="A106" s="158" t="s">
        <v>368</v>
      </c>
      <c r="B106" s="589" t="s">
        <v>369</v>
      </c>
      <c r="C106" s="590"/>
      <c r="D106" s="591"/>
    </row>
    <row r="107" spans="1:8" ht="21">
      <c r="A107" s="592" t="s">
        <v>876</v>
      </c>
      <c r="B107" s="593"/>
      <c r="C107" s="593"/>
      <c r="D107" s="594"/>
    </row>
    <row r="108" spans="1:8" ht="23.25">
      <c r="A108" s="595" t="s">
        <v>877</v>
      </c>
      <c r="B108" s="595"/>
      <c r="C108" s="596" t="s">
        <v>878</v>
      </c>
      <c r="D108" s="597"/>
      <c r="E108" s="597"/>
      <c r="F108" s="598"/>
      <c r="G108" s="159"/>
      <c r="H108" s="159"/>
    </row>
    <row r="109" spans="1:8" ht="47.25">
      <c r="A109" s="89" t="s">
        <v>250</v>
      </c>
      <c r="B109" s="89" t="s">
        <v>879</v>
      </c>
      <c r="C109" s="160" t="s">
        <v>880</v>
      </c>
      <c r="D109" s="161" t="s">
        <v>881</v>
      </c>
      <c r="E109" s="161" t="s">
        <v>882</v>
      </c>
      <c r="F109" s="161" t="s">
        <v>883</v>
      </c>
      <c r="G109" s="162"/>
      <c r="H109" s="162"/>
    </row>
    <row r="110" spans="1:8" ht="63">
      <c r="A110" s="163" t="s">
        <v>884</v>
      </c>
      <c r="B110" s="164" t="s">
        <v>885</v>
      </c>
      <c r="C110" s="44" t="s">
        <v>886</v>
      </c>
      <c r="D110" s="165" t="s">
        <v>887</v>
      </c>
      <c r="E110" s="165" t="s">
        <v>888</v>
      </c>
      <c r="F110" s="165" t="s">
        <v>889</v>
      </c>
      <c r="G110" s="162"/>
      <c r="H110" s="162"/>
    </row>
    <row r="111" spans="1:8" ht="47.25">
      <c r="A111" s="163" t="s">
        <v>890</v>
      </c>
      <c r="B111" s="164" t="s">
        <v>891</v>
      </c>
      <c r="C111" s="44" t="s">
        <v>892</v>
      </c>
      <c r="D111" s="165" t="s">
        <v>893</v>
      </c>
      <c r="E111" s="166">
        <v>0</v>
      </c>
      <c r="F111" s="165" t="s">
        <v>888</v>
      </c>
      <c r="G111" s="162"/>
      <c r="H111" s="162"/>
    </row>
    <row r="112" spans="1:8" ht="47.25">
      <c r="A112" s="163" t="s">
        <v>894</v>
      </c>
      <c r="B112" s="164" t="s">
        <v>895</v>
      </c>
      <c r="C112" s="44" t="s">
        <v>896</v>
      </c>
      <c r="D112" s="165" t="s">
        <v>897</v>
      </c>
      <c r="E112" s="165" t="s">
        <v>893</v>
      </c>
      <c r="F112" s="165" t="s">
        <v>887</v>
      </c>
      <c r="G112" s="162"/>
      <c r="H112" s="162"/>
    </row>
    <row r="113" spans="1:8" ht="47.25">
      <c r="A113" s="163" t="s">
        <v>898</v>
      </c>
      <c r="B113" s="164" t="s">
        <v>891</v>
      </c>
      <c r="C113" s="167"/>
      <c r="D113" s="162"/>
      <c r="E113" s="162"/>
      <c r="F113" s="162"/>
      <c r="G113" s="162"/>
      <c r="H113" s="162"/>
    </row>
    <row r="114" spans="1:8" ht="31.5">
      <c r="A114" s="163" t="s">
        <v>899</v>
      </c>
      <c r="B114" s="164" t="s">
        <v>891</v>
      </c>
      <c r="C114" s="167"/>
      <c r="D114" s="162"/>
      <c r="E114" s="162"/>
      <c r="F114" s="162"/>
      <c r="G114" s="162"/>
      <c r="H114" s="162"/>
    </row>
    <row r="115" spans="1:8" ht="31.5">
      <c r="A115" s="168" t="s">
        <v>900</v>
      </c>
      <c r="B115" s="169" t="s">
        <v>891</v>
      </c>
      <c r="C115" s="167"/>
      <c r="D115" s="162"/>
      <c r="E115" s="162"/>
      <c r="F115" s="162"/>
      <c r="G115" s="162"/>
      <c r="H115" s="162"/>
    </row>
    <row r="116" spans="1:8" ht="15.75">
      <c r="A116" s="163" t="s">
        <v>901</v>
      </c>
      <c r="B116" s="164" t="s">
        <v>891</v>
      </c>
      <c r="C116" s="167"/>
      <c r="D116" s="162"/>
      <c r="E116" s="162"/>
      <c r="F116" s="162"/>
      <c r="G116" s="162"/>
      <c r="H116" s="162"/>
    </row>
    <row r="117" spans="1:8" ht="15.75">
      <c r="A117" s="163" t="s">
        <v>902</v>
      </c>
      <c r="B117" s="164" t="s">
        <v>891</v>
      </c>
      <c r="C117" s="167"/>
      <c r="D117" s="162"/>
      <c r="E117" s="162"/>
      <c r="F117" s="162"/>
      <c r="G117" s="162"/>
      <c r="H117" s="162"/>
    </row>
    <row r="118" spans="1:8" ht="15.75" thickBot="1">
      <c r="A118" s="170"/>
      <c r="B118" s="170"/>
      <c r="C118" s="170"/>
      <c r="D118" s="170"/>
    </row>
    <row r="119" spans="1:8" ht="23.25">
      <c r="A119" s="599" t="s">
        <v>903</v>
      </c>
      <c r="B119" s="600"/>
      <c r="C119" s="600"/>
      <c r="D119" s="600"/>
      <c r="E119" s="601"/>
    </row>
    <row r="120" spans="1:8" ht="93.75">
      <c r="A120" s="171" t="s">
        <v>904</v>
      </c>
      <c r="B120" s="172" t="s">
        <v>905</v>
      </c>
      <c r="C120" s="172" t="s">
        <v>906</v>
      </c>
      <c r="D120" s="172" t="s">
        <v>907</v>
      </c>
      <c r="E120" s="173" t="s">
        <v>908</v>
      </c>
    </row>
    <row r="121" spans="1:8" ht="18.75">
      <c r="A121" s="174" t="s">
        <v>909</v>
      </c>
      <c r="B121" s="175" t="s">
        <v>910</v>
      </c>
      <c r="C121" s="175" t="s">
        <v>911</v>
      </c>
      <c r="D121" s="175">
        <v>5</v>
      </c>
      <c r="E121" s="176" t="s">
        <v>912</v>
      </c>
    </row>
    <row r="122" spans="1:8" ht="18.75">
      <c r="A122" s="174" t="s">
        <v>338</v>
      </c>
      <c r="B122" s="175">
        <v>2.5</v>
      </c>
      <c r="C122" s="175">
        <v>3.5</v>
      </c>
      <c r="D122" s="175">
        <v>6</v>
      </c>
      <c r="E122" s="176" t="s">
        <v>912</v>
      </c>
    </row>
    <row r="123" spans="1:8" ht="18.75">
      <c r="A123" s="174" t="s">
        <v>341</v>
      </c>
      <c r="B123" s="175">
        <v>3</v>
      </c>
      <c r="C123" s="175">
        <v>4.5</v>
      </c>
      <c r="D123" s="175">
        <v>7</v>
      </c>
      <c r="E123" s="176" t="s">
        <v>912</v>
      </c>
    </row>
    <row r="124" spans="1:8" ht="18.75">
      <c r="A124" s="174" t="s">
        <v>344</v>
      </c>
      <c r="B124" s="175">
        <v>4</v>
      </c>
      <c r="C124" s="175">
        <v>5.5</v>
      </c>
      <c r="D124" s="175">
        <v>8.5</v>
      </c>
      <c r="E124" s="176" t="s">
        <v>912</v>
      </c>
    </row>
    <row r="125" spans="1:8" ht="18.75">
      <c r="A125" s="174" t="s">
        <v>349</v>
      </c>
      <c r="B125" s="175">
        <v>5</v>
      </c>
      <c r="C125" s="175">
        <v>6</v>
      </c>
      <c r="D125" s="175">
        <v>10</v>
      </c>
      <c r="E125" s="176" t="s">
        <v>912</v>
      </c>
    </row>
    <row r="126" spans="1:8" ht="18.75">
      <c r="A126" s="174" t="s">
        <v>353</v>
      </c>
      <c r="B126" s="175">
        <v>6</v>
      </c>
      <c r="C126" s="175">
        <v>7</v>
      </c>
      <c r="D126" s="175">
        <v>11</v>
      </c>
      <c r="E126" s="176" t="s">
        <v>912</v>
      </c>
    </row>
    <row r="127" spans="1:8" ht="18.75">
      <c r="A127" s="174" t="s">
        <v>356</v>
      </c>
      <c r="B127" s="175">
        <v>7</v>
      </c>
      <c r="C127" s="175">
        <v>8</v>
      </c>
      <c r="D127" s="175">
        <v>12</v>
      </c>
      <c r="E127" s="176" t="s">
        <v>912</v>
      </c>
    </row>
    <row r="128" spans="1:8" ht="18.75">
      <c r="A128" s="174" t="s">
        <v>359</v>
      </c>
      <c r="B128" s="175">
        <v>8</v>
      </c>
      <c r="C128" s="175">
        <v>9</v>
      </c>
      <c r="D128" s="175">
        <v>13</v>
      </c>
      <c r="E128" s="176" t="s">
        <v>912</v>
      </c>
    </row>
    <row r="129" spans="1:5" ht="18.75">
      <c r="A129" s="174" t="s">
        <v>361</v>
      </c>
      <c r="B129" s="175">
        <v>9</v>
      </c>
      <c r="C129" s="175">
        <v>10</v>
      </c>
      <c r="D129" s="175">
        <v>14</v>
      </c>
      <c r="E129" s="176" t="s">
        <v>912</v>
      </c>
    </row>
    <row r="130" spans="1:5" ht="18.75">
      <c r="A130" s="174" t="s">
        <v>364</v>
      </c>
      <c r="B130" s="175">
        <v>10</v>
      </c>
      <c r="C130" s="175">
        <v>11</v>
      </c>
      <c r="D130" s="175">
        <v>15</v>
      </c>
      <c r="E130" s="176" t="s">
        <v>912</v>
      </c>
    </row>
    <row r="131" spans="1:5" ht="18.75">
      <c r="A131" s="174" t="s">
        <v>367</v>
      </c>
      <c r="B131" s="175">
        <v>11</v>
      </c>
      <c r="C131" s="175">
        <v>12</v>
      </c>
      <c r="D131" s="175">
        <v>16.5</v>
      </c>
      <c r="E131" s="176" t="s">
        <v>912</v>
      </c>
    </row>
    <row r="132" spans="1:5" ht="18.75">
      <c r="A132" s="174" t="s">
        <v>332</v>
      </c>
      <c r="B132" s="175">
        <v>12</v>
      </c>
      <c r="C132" s="175">
        <v>13</v>
      </c>
      <c r="D132" s="175">
        <v>17.5</v>
      </c>
      <c r="E132" s="176" t="s">
        <v>912</v>
      </c>
    </row>
    <row r="133" spans="1:5" ht="18.75">
      <c r="A133" s="174" t="s">
        <v>335</v>
      </c>
      <c r="B133" s="175">
        <v>13</v>
      </c>
      <c r="C133" s="175">
        <v>15</v>
      </c>
      <c r="D133" s="175">
        <v>18.5</v>
      </c>
      <c r="E133" s="176" t="s">
        <v>912</v>
      </c>
    </row>
    <row r="134" spans="1:5" ht="18.75">
      <c r="A134" s="174" t="s">
        <v>339</v>
      </c>
      <c r="B134" s="175">
        <v>14</v>
      </c>
      <c r="C134" s="175">
        <v>16</v>
      </c>
      <c r="D134" s="175">
        <v>19.5</v>
      </c>
      <c r="E134" s="176" t="s">
        <v>912</v>
      </c>
    </row>
    <row r="135" spans="1:5" ht="18.75">
      <c r="A135" s="174" t="s">
        <v>342</v>
      </c>
      <c r="B135" s="175">
        <v>15</v>
      </c>
      <c r="C135" s="175">
        <v>17</v>
      </c>
      <c r="D135" s="175">
        <v>21</v>
      </c>
      <c r="E135" s="176" t="s">
        <v>912</v>
      </c>
    </row>
    <row r="136" spans="1:5" ht="18.75">
      <c r="A136" s="174" t="s">
        <v>345</v>
      </c>
      <c r="B136" s="175">
        <v>16</v>
      </c>
      <c r="C136" s="175">
        <v>18</v>
      </c>
      <c r="D136" s="175">
        <v>22</v>
      </c>
      <c r="E136" s="176" t="s">
        <v>912</v>
      </c>
    </row>
    <row r="137" spans="1:5" ht="18.75">
      <c r="A137" s="174" t="s">
        <v>350</v>
      </c>
      <c r="B137" s="175">
        <v>17</v>
      </c>
      <c r="C137" s="175">
        <v>19</v>
      </c>
      <c r="D137" s="175">
        <v>23</v>
      </c>
      <c r="E137" s="176" t="s">
        <v>912</v>
      </c>
    </row>
    <row r="138" spans="1:5" ht="18.75">
      <c r="A138" s="174" t="s">
        <v>354</v>
      </c>
      <c r="B138" s="175">
        <v>18</v>
      </c>
      <c r="C138" s="175">
        <v>20</v>
      </c>
      <c r="D138" s="175">
        <v>24</v>
      </c>
      <c r="E138" s="176" t="s">
        <v>912</v>
      </c>
    </row>
    <row r="139" spans="1:5" ht="18.75">
      <c r="A139" s="174" t="s">
        <v>357</v>
      </c>
      <c r="B139" s="175">
        <v>19</v>
      </c>
      <c r="C139" s="175">
        <v>21</v>
      </c>
      <c r="D139" s="175">
        <v>25</v>
      </c>
      <c r="E139" s="176" t="s">
        <v>912</v>
      </c>
    </row>
    <row r="140" spans="1:5" ht="18.75">
      <c r="A140" s="174" t="s">
        <v>360</v>
      </c>
      <c r="B140" s="175">
        <v>20</v>
      </c>
      <c r="C140" s="175">
        <v>23</v>
      </c>
      <c r="D140" s="175">
        <v>26</v>
      </c>
      <c r="E140" s="176" t="s">
        <v>912</v>
      </c>
    </row>
    <row r="141" spans="1:5" ht="18.75">
      <c r="A141" s="174" t="s">
        <v>362</v>
      </c>
      <c r="B141" s="175">
        <v>21</v>
      </c>
      <c r="C141" s="175">
        <v>25</v>
      </c>
      <c r="D141" s="175">
        <v>27</v>
      </c>
      <c r="E141" s="176" t="s">
        <v>912</v>
      </c>
    </row>
    <row r="142" spans="1:5" ht="18.75">
      <c r="A142" s="174" t="s">
        <v>365</v>
      </c>
      <c r="B142" s="175">
        <v>22</v>
      </c>
      <c r="C142" s="175">
        <v>27</v>
      </c>
      <c r="D142" s="175">
        <v>28</v>
      </c>
      <c r="E142" s="176" t="s">
        <v>912</v>
      </c>
    </row>
    <row r="143" spans="1:5" ht="19.5" thickBot="1">
      <c r="A143" s="177" t="s">
        <v>368</v>
      </c>
      <c r="B143" s="577" t="s">
        <v>369</v>
      </c>
      <c r="C143" s="578"/>
      <c r="D143" s="578"/>
      <c r="E143" s="579"/>
    </row>
    <row r="150" spans="1:5" ht="23.25">
      <c r="A150" s="580" t="s">
        <v>913</v>
      </c>
      <c r="B150" s="581"/>
      <c r="C150" s="581"/>
      <c r="D150" s="581"/>
      <c r="E150" s="582"/>
    </row>
    <row r="151" spans="1:5" ht="15.75">
      <c r="A151" s="583" t="s">
        <v>914</v>
      </c>
      <c r="B151" s="584"/>
      <c r="C151" s="584"/>
      <c r="D151" s="584"/>
      <c r="E151" s="585"/>
    </row>
    <row r="152" spans="1:5" ht="15.75">
      <c r="A152" s="583" t="s">
        <v>915</v>
      </c>
      <c r="B152" s="584"/>
      <c r="C152" s="584"/>
      <c r="D152" s="584"/>
      <c r="E152" s="585"/>
    </row>
    <row r="153" spans="1:5" ht="31.5">
      <c r="A153" s="169" t="s">
        <v>916</v>
      </c>
      <c r="B153" s="89" t="s">
        <v>917</v>
      </c>
      <c r="C153" s="89" t="s">
        <v>918</v>
      </c>
      <c r="D153" s="89" t="s">
        <v>919</v>
      </c>
      <c r="E153" s="89" t="s">
        <v>920</v>
      </c>
    </row>
    <row r="154" spans="1:5" ht="283.5">
      <c r="A154" s="164">
        <v>1</v>
      </c>
      <c r="B154" s="163" t="s">
        <v>921</v>
      </c>
      <c r="C154" s="163" t="s">
        <v>922</v>
      </c>
      <c r="D154" s="163" t="s">
        <v>923</v>
      </c>
      <c r="E154" s="163" t="s">
        <v>924</v>
      </c>
    </row>
    <row r="155" spans="1:5" ht="94.5">
      <c r="A155" s="164">
        <v>2</v>
      </c>
      <c r="B155" s="163" t="s">
        <v>925</v>
      </c>
      <c r="C155" s="163" t="s">
        <v>926</v>
      </c>
      <c r="D155" s="163" t="s">
        <v>927</v>
      </c>
      <c r="E155" s="163" t="s">
        <v>928</v>
      </c>
    </row>
    <row r="156" spans="1:5" ht="204.75">
      <c r="A156" s="164">
        <v>3</v>
      </c>
      <c r="B156" s="163" t="s">
        <v>929</v>
      </c>
      <c r="C156" s="163" t="s">
        <v>930</v>
      </c>
      <c r="D156" s="163" t="s">
        <v>931</v>
      </c>
      <c r="E156" s="163" t="s">
        <v>932</v>
      </c>
    </row>
    <row r="157" spans="1:5" ht="141.75">
      <c r="A157" s="164">
        <v>4</v>
      </c>
      <c r="B157" s="163" t="s">
        <v>933</v>
      </c>
      <c r="C157" s="163" t="s">
        <v>934</v>
      </c>
      <c r="D157" s="163" t="s">
        <v>935</v>
      </c>
      <c r="E157" s="163" t="s">
        <v>936</v>
      </c>
    </row>
    <row r="158" spans="1:5" ht="220.5">
      <c r="A158" s="164">
        <v>5</v>
      </c>
      <c r="B158" s="163" t="s">
        <v>937</v>
      </c>
      <c r="C158" s="163" t="s">
        <v>938</v>
      </c>
      <c r="D158" s="163" t="s">
        <v>939</v>
      </c>
      <c r="E158" s="163" t="s">
        <v>940</v>
      </c>
    </row>
    <row r="159" spans="1:5" ht="173.25">
      <c r="A159" s="164">
        <v>6</v>
      </c>
      <c r="B159" s="163" t="s">
        <v>941</v>
      </c>
      <c r="C159" s="163" t="s">
        <v>942</v>
      </c>
      <c r="D159" s="163" t="s">
        <v>943</v>
      </c>
      <c r="E159" s="163" t="s">
        <v>944</v>
      </c>
    </row>
    <row r="160" spans="1:5" ht="126">
      <c r="A160" s="164">
        <v>7</v>
      </c>
      <c r="B160" s="163" t="s">
        <v>945</v>
      </c>
      <c r="C160" s="163" t="s">
        <v>946</v>
      </c>
      <c r="D160" s="163" t="s">
        <v>947</v>
      </c>
      <c r="E160" s="163" t="s">
        <v>948</v>
      </c>
    </row>
    <row r="161" spans="1:5" ht="189">
      <c r="A161" s="164">
        <v>8</v>
      </c>
      <c r="B161" s="163" t="s">
        <v>949</v>
      </c>
      <c r="C161" s="163" t="s">
        <v>950</v>
      </c>
      <c r="D161" s="163" t="s">
        <v>951</v>
      </c>
      <c r="E161" s="163" t="s">
        <v>952</v>
      </c>
    </row>
    <row r="162" spans="1:5" ht="189.75" thickBot="1">
      <c r="A162" s="178">
        <v>9</v>
      </c>
      <c r="B162" s="179" t="s">
        <v>953</v>
      </c>
      <c r="C162" s="179" t="s">
        <v>954</v>
      </c>
      <c r="D162" s="179" t="s">
        <v>955</v>
      </c>
      <c r="E162" s="179" t="s">
        <v>956</v>
      </c>
    </row>
    <row r="163" spans="1:5" ht="21.75" thickBot="1">
      <c r="A163" s="586" t="s">
        <v>957</v>
      </c>
      <c r="B163" s="587"/>
      <c r="C163" s="587"/>
      <c r="D163" s="587"/>
      <c r="E163" s="588"/>
    </row>
    <row r="164" spans="1:5" ht="18.75" thickBot="1">
      <c r="A164" s="565" t="s">
        <v>958</v>
      </c>
      <c r="B164" s="566"/>
      <c r="C164" s="566"/>
      <c r="D164" s="566"/>
      <c r="E164" s="567"/>
    </row>
    <row r="165" spans="1:5" ht="15.75" thickBot="1"/>
    <row r="166" spans="1:5" ht="71.25">
      <c r="A166" s="180" t="s">
        <v>959</v>
      </c>
      <c r="B166" s="181" t="s">
        <v>960</v>
      </c>
      <c r="C166" s="181" t="s">
        <v>961</v>
      </c>
      <c r="D166" s="182" t="s">
        <v>962</v>
      </c>
    </row>
    <row r="167" spans="1:5" ht="15.75" thickBot="1">
      <c r="A167" s="183"/>
      <c r="B167" s="184" t="s">
        <v>963</v>
      </c>
      <c r="C167" s="184" t="s">
        <v>964</v>
      </c>
      <c r="D167" s="185" t="s">
        <v>965</v>
      </c>
    </row>
    <row r="168" spans="1:5">
      <c r="A168" s="186" t="s">
        <v>966</v>
      </c>
      <c r="B168" s="187" t="s">
        <v>967</v>
      </c>
      <c r="C168" s="187" t="s">
        <v>968</v>
      </c>
      <c r="D168" s="568" t="s">
        <v>969</v>
      </c>
    </row>
    <row r="169" spans="1:5">
      <c r="A169" s="186" t="s">
        <v>970</v>
      </c>
      <c r="B169" s="187" t="s">
        <v>967</v>
      </c>
      <c r="C169" s="187" t="s">
        <v>968</v>
      </c>
      <c r="D169" s="568"/>
    </row>
    <row r="170" spans="1:5">
      <c r="A170" s="186" t="s">
        <v>971</v>
      </c>
      <c r="B170" s="187" t="s">
        <v>967</v>
      </c>
      <c r="C170" s="187" t="s">
        <v>968</v>
      </c>
      <c r="D170" s="568"/>
    </row>
    <row r="171" spans="1:5">
      <c r="A171" s="186" t="s">
        <v>972</v>
      </c>
      <c r="B171" s="187" t="s">
        <v>967</v>
      </c>
      <c r="C171" s="187" t="s">
        <v>968</v>
      </c>
      <c r="D171" s="568"/>
    </row>
    <row r="172" spans="1:5">
      <c r="A172" s="186" t="s">
        <v>973</v>
      </c>
      <c r="B172" s="187" t="s">
        <v>967</v>
      </c>
      <c r="C172" s="187" t="s">
        <v>968</v>
      </c>
      <c r="D172" s="568"/>
    </row>
    <row r="173" spans="1:5">
      <c r="A173" s="186" t="s">
        <v>974</v>
      </c>
      <c r="B173" s="187" t="s">
        <v>975</v>
      </c>
      <c r="C173" s="187" t="s">
        <v>976</v>
      </c>
      <c r="D173" s="568"/>
    </row>
    <row r="174" spans="1:5">
      <c r="A174" s="186" t="s">
        <v>977</v>
      </c>
      <c r="B174" s="187" t="s">
        <v>975</v>
      </c>
      <c r="C174" s="187" t="s">
        <v>976</v>
      </c>
      <c r="D174" s="568"/>
    </row>
    <row r="175" spans="1:5">
      <c r="A175" s="186" t="s">
        <v>978</v>
      </c>
      <c r="B175" s="187" t="s">
        <v>975</v>
      </c>
      <c r="C175" s="187" t="s">
        <v>976</v>
      </c>
      <c r="D175" s="568"/>
    </row>
    <row r="176" spans="1:5">
      <c r="A176" s="186" t="s">
        <v>979</v>
      </c>
      <c r="B176" s="187" t="s">
        <v>975</v>
      </c>
      <c r="C176" s="187" t="s">
        <v>976</v>
      </c>
      <c r="D176" s="568"/>
    </row>
    <row r="177" spans="1:8">
      <c r="A177" s="186" t="s">
        <v>980</v>
      </c>
      <c r="B177" s="187" t="s">
        <v>975</v>
      </c>
      <c r="C177" s="187" t="s">
        <v>976</v>
      </c>
      <c r="D177" s="568"/>
    </row>
    <row r="178" spans="1:8">
      <c r="A178" s="186" t="s">
        <v>981</v>
      </c>
      <c r="B178" s="187" t="s">
        <v>967</v>
      </c>
      <c r="C178" s="187" t="s">
        <v>976</v>
      </c>
      <c r="D178" s="568"/>
    </row>
    <row r="179" spans="1:8">
      <c r="A179" s="186" t="s">
        <v>982</v>
      </c>
      <c r="B179" s="187" t="s">
        <v>983</v>
      </c>
      <c r="C179" s="187" t="s">
        <v>976</v>
      </c>
      <c r="D179" s="568"/>
    </row>
    <row r="180" spans="1:8">
      <c r="A180" s="186" t="s">
        <v>984</v>
      </c>
      <c r="B180" s="187" t="s">
        <v>967</v>
      </c>
      <c r="C180" s="187" t="s">
        <v>976</v>
      </c>
      <c r="D180" s="568"/>
    </row>
    <row r="181" spans="1:8">
      <c r="A181" s="186" t="s">
        <v>985</v>
      </c>
      <c r="B181" s="187" t="s">
        <v>967</v>
      </c>
      <c r="C181" s="187" t="s">
        <v>986</v>
      </c>
      <c r="D181" s="568"/>
    </row>
    <row r="182" spans="1:8">
      <c r="A182" s="186" t="s">
        <v>987</v>
      </c>
      <c r="B182" s="187" t="s">
        <v>983</v>
      </c>
      <c r="C182" s="187" t="s">
        <v>968</v>
      </c>
      <c r="D182" s="568"/>
    </row>
    <row r="183" spans="1:8">
      <c r="A183" s="186" t="s">
        <v>988</v>
      </c>
      <c r="B183" s="187" t="s">
        <v>983</v>
      </c>
      <c r="C183" s="187" t="s">
        <v>968</v>
      </c>
      <c r="D183" s="568"/>
    </row>
    <row r="184" spans="1:8">
      <c r="A184" s="186" t="s">
        <v>989</v>
      </c>
      <c r="B184" s="187" t="s">
        <v>983</v>
      </c>
      <c r="C184" s="187" t="s">
        <v>976</v>
      </c>
      <c r="D184" s="568"/>
    </row>
    <row r="185" spans="1:8">
      <c r="A185" s="186" t="s">
        <v>990</v>
      </c>
      <c r="B185" s="187" t="s">
        <v>983</v>
      </c>
      <c r="C185" s="187" t="s">
        <v>976</v>
      </c>
      <c r="D185" s="568"/>
    </row>
    <row r="186" spans="1:8" ht="15.75" thickBot="1">
      <c r="A186" s="188" t="s">
        <v>991</v>
      </c>
      <c r="B186" s="189" t="s">
        <v>975</v>
      </c>
      <c r="C186" s="189" t="s">
        <v>986</v>
      </c>
      <c r="D186" s="569"/>
    </row>
    <row r="187" spans="1:8" ht="24" thickBot="1">
      <c r="A187" s="570" t="s">
        <v>877</v>
      </c>
      <c r="B187" s="571"/>
      <c r="C187" s="571"/>
      <c r="D187" s="571"/>
      <c r="E187" s="571"/>
      <c r="F187" s="571"/>
      <c r="G187" s="571"/>
      <c r="H187" s="572"/>
    </row>
    <row r="188" spans="1:8" ht="18.75">
      <c r="A188" s="573" t="s">
        <v>992</v>
      </c>
      <c r="B188" s="574"/>
      <c r="C188" s="574"/>
      <c r="D188" s="574"/>
      <c r="E188" s="574"/>
      <c r="F188" s="574"/>
      <c r="G188" s="574"/>
      <c r="H188" s="575"/>
    </row>
    <row r="189" spans="1:8" ht="18.75">
      <c r="A189" s="554" t="s">
        <v>993</v>
      </c>
      <c r="B189" s="576"/>
      <c r="C189" s="576"/>
      <c r="D189" s="576"/>
      <c r="E189" s="576"/>
      <c r="F189" s="576"/>
      <c r="G189" s="576"/>
      <c r="H189" s="555"/>
    </row>
    <row r="190" spans="1:8" ht="18.75">
      <c r="A190" s="551" t="s">
        <v>994</v>
      </c>
      <c r="B190" s="551"/>
      <c r="C190" s="556"/>
      <c r="D190" s="557"/>
      <c r="E190" s="557"/>
      <c r="F190" s="557"/>
      <c r="G190" s="557"/>
      <c r="H190" s="558"/>
    </row>
    <row r="191" spans="1:8" ht="18.75">
      <c r="A191" s="551" t="s">
        <v>995</v>
      </c>
      <c r="B191" s="551"/>
      <c r="C191" s="556"/>
      <c r="D191" s="557"/>
      <c r="E191" s="557"/>
      <c r="F191" s="557"/>
      <c r="G191" s="557"/>
      <c r="H191" s="558"/>
    </row>
    <row r="192" spans="1:8" ht="18.75">
      <c r="A192" s="551" t="s">
        <v>996</v>
      </c>
      <c r="B192" s="551"/>
      <c r="C192" s="556"/>
      <c r="D192" s="557"/>
      <c r="E192" s="557"/>
      <c r="F192" s="557"/>
      <c r="G192" s="557"/>
      <c r="H192" s="558"/>
    </row>
    <row r="193" spans="1:8" ht="18.75">
      <c r="A193" s="554" t="s">
        <v>963</v>
      </c>
      <c r="B193" s="555"/>
      <c r="C193" s="556"/>
      <c r="D193" s="557"/>
      <c r="E193" s="557"/>
      <c r="F193" s="557"/>
      <c r="G193" s="557"/>
      <c r="H193" s="558"/>
    </row>
    <row r="194" spans="1:8">
      <c r="A194" s="559" t="s">
        <v>997</v>
      </c>
      <c r="B194" s="560"/>
      <c r="C194" s="560"/>
      <c r="D194" s="560"/>
      <c r="E194" s="560"/>
      <c r="F194" s="560"/>
      <c r="G194" s="560"/>
      <c r="H194" s="561"/>
    </row>
    <row r="195" spans="1:8" ht="22.5" customHeight="1">
      <c r="A195" s="562"/>
      <c r="B195" s="563"/>
      <c r="C195" s="563"/>
      <c r="D195" s="563"/>
      <c r="E195" s="563"/>
      <c r="F195" s="563"/>
      <c r="G195" s="563"/>
      <c r="H195" s="564"/>
    </row>
    <row r="196" spans="1:8" ht="18.75">
      <c r="A196" s="551" t="s">
        <v>964</v>
      </c>
      <c r="B196" s="551"/>
      <c r="C196" s="550"/>
      <c r="D196" s="550"/>
      <c r="E196" s="550"/>
      <c r="F196" s="550"/>
      <c r="G196" s="550"/>
      <c r="H196" s="550"/>
    </row>
    <row r="197" spans="1:8">
      <c r="A197" s="544" t="s">
        <v>998</v>
      </c>
      <c r="B197" s="545"/>
      <c r="C197" s="545"/>
      <c r="D197" s="545"/>
      <c r="E197" s="546"/>
      <c r="F197" s="550"/>
      <c r="G197" s="550"/>
      <c r="H197" s="550"/>
    </row>
    <row r="198" spans="1:8" ht="27" customHeight="1">
      <c r="A198" s="547"/>
      <c r="B198" s="548"/>
      <c r="C198" s="548"/>
      <c r="D198" s="548"/>
      <c r="E198" s="549"/>
      <c r="F198" s="550"/>
      <c r="G198" s="550"/>
      <c r="H198" s="550"/>
    </row>
    <row r="199" spans="1:8" ht="18.75">
      <c r="A199" s="551" t="s">
        <v>999</v>
      </c>
      <c r="B199" s="551"/>
      <c r="C199" s="552"/>
      <c r="D199" s="552"/>
      <c r="E199" s="552"/>
      <c r="F199" s="552"/>
      <c r="G199" s="552"/>
      <c r="H199" s="552"/>
    </row>
    <row r="200" spans="1:8">
      <c r="C200" s="553"/>
      <c r="D200" s="553"/>
      <c r="E200" s="553"/>
      <c r="F200" s="553"/>
      <c r="G200" s="553"/>
      <c r="H200" s="553"/>
    </row>
    <row r="201" spans="1:8" ht="21.75" thickBot="1">
      <c r="A201" s="537" t="s">
        <v>1000</v>
      </c>
      <c r="B201" s="537"/>
      <c r="C201" s="537"/>
      <c r="D201" s="537"/>
      <c r="E201" s="537"/>
      <c r="F201" s="537"/>
      <c r="G201" s="537"/>
      <c r="H201" s="537"/>
    </row>
    <row r="202" spans="1:8" ht="31.5">
      <c r="A202" s="538" t="s">
        <v>1001</v>
      </c>
      <c r="B202" s="539"/>
      <c r="C202" s="539"/>
      <c r="D202" s="539"/>
      <c r="E202" s="539"/>
      <c r="F202" s="539"/>
      <c r="G202" s="539"/>
      <c r="H202" s="540"/>
    </row>
    <row r="203" spans="1:8" ht="15.75">
      <c r="A203" s="541"/>
      <c r="B203" s="542"/>
      <c r="C203" s="542"/>
      <c r="D203" s="542"/>
      <c r="E203" s="542"/>
      <c r="F203" s="542"/>
      <c r="G203" s="542"/>
      <c r="H203" s="543"/>
    </row>
    <row r="204" spans="1:8" ht="15.75">
      <c r="A204" s="526" t="s">
        <v>1002</v>
      </c>
      <c r="B204" s="527"/>
      <c r="C204" s="527" t="s">
        <v>1003</v>
      </c>
      <c r="D204" s="527"/>
      <c r="E204" s="527"/>
      <c r="F204" s="527" t="s">
        <v>1004</v>
      </c>
      <c r="G204" s="527"/>
      <c r="H204" s="534"/>
    </row>
    <row r="205" spans="1:8" ht="15.75">
      <c r="A205" s="526" t="s">
        <v>310</v>
      </c>
      <c r="B205" s="527"/>
      <c r="C205" s="527" t="s">
        <v>1005</v>
      </c>
      <c r="D205" s="527"/>
      <c r="E205" s="527"/>
      <c r="F205" s="527" t="s">
        <v>452</v>
      </c>
      <c r="G205" s="527"/>
      <c r="H205" s="534"/>
    </row>
    <row r="206" spans="1:8" ht="15.75">
      <c r="A206" s="526" t="s">
        <v>1006</v>
      </c>
      <c r="B206" s="527"/>
      <c r="C206" s="527" t="s">
        <v>1007</v>
      </c>
      <c r="D206" s="527"/>
      <c r="E206" s="527"/>
      <c r="F206" s="527" t="s">
        <v>452</v>
      </c>
      <c r="G206" s="527"/>
      <c r="H206" s="534"/>
    </row>
    <row r="207" spans="1:8" ht="15.75">
      <c r="A207" s="526" t="s">
        <v>468</v>
      </c>
      <c r="B207" s="527"/>
      <c r="C207" s="527" t="s">
        <v>1008</v>
      </c>
      <c r="D207" s="527"/>
      <c r="E207" s="527"/>
      <c r="F207" s="527" t="s">
        <v>452</v>
      </c>
      <c r="G207" s="527"/>
      <c r="H207" s="534"/>
    </row>
    <row r="208" spans="1:8" ht="15.75">
      <c r="A208" s="526"/>
      <c r="B208" s="527"/>
      <c r="C208" s="527"/>
      <c r="D208" s="527"/>
      <c r="E208" s="527"/>
      <c r="F208" s="527"/>
      <c r="G208" s="527"/>
      <c r="H208" s="534"/>
    </row>
    <row r="209" spans="1:8" ht="15.75">
      <c r="A209" s="526" t="s">
        <v>1009</v>
      </c>
      <c r="B209" s="527"/>
      <c r="C209" s="527"/>
      <c r="D209" s="527"/>
      <c r="E209" s="527"/>
      <c r="F209" s="527"/>
      <c r="G209" s="527"/>
      <c r="H209" s="534"/>
    </row>
    <row r="210" spans="1:8" ht="15.75">
      <c r="A210" s="526"/>
      <c r="B210" s="527"/>
      <c r="C210" s="527"/>
      <c r="D210" s="527"/>
      <c r="E210" s="527"/>
      <c r="F210" s="527"/>
      <c r="G210" s="527"/>
      <c r="H210" s="534"/>
    </row>
    <row r="211" spans="1:8" ht="15.75">
      <c r="A211" s="526" t="s">
        <v>312</v>
      </c>
      <c r="B211" s="527"/>
      <c r="C211" s="527" t="s">
        <v>1010</v>
      </c>
      <c r="D211" s="527"/>
      <c r="E211" s="527"/>
      <c r="F211" s="527" t="s">
        <v>1011</v>
      </c>
      <c r="G211" s="527"/>
      <c r="H211" s="534"/>
    </row>
    <row r="212" spans="1:8" ht="15.75">
      <c r="A212" s="526" t="s">
        <v>389</v>
      </c>
      <c r="B212" s="527"/>
      <c r="C212" s="527" t="s">
        <v>1012</v>
      </c>
      <c r="D212" s="527"/>
      <c r="E212" s="527"/>
      <c r="F212" s="527"/>
      <c r="G212" s="527"/>
      <c r="H212" s="534"/>
    </row>
    <row r="213" spans="1:8" ht="15.75">
      <c r="A213" s="526" t="s">
        <v>1013</v>
      </c>
      <c r="B213" s="527"/>
      <c r="C213" s="527" t="s">
        <v>1014</v>
      </c>
      <c r="D213" s="527"/>
      <c r="E213" s="527"/>
      <c r="F213" s="527"/>
      <c r="G213" s="527"/>
      <c r="H213" s="534"/>
    </row>
    <row r="214" spans="1:8" ht="15.75">
      <c r="A214" s="526" t="s">
        <v>1015</v>
      </c>
      <c r="B214" s="527"/>
      <c r="C214" s="527" t="s">
        <v>1014</v>
      </c>
      <c r="D214" s="527"/>
      <c r="E214" s="527"/>
      <c r="F214" s="527"/>
      <c r="G214" s="527"/>
      <c r="H214" s="534"/>
    </row>
    <row r="215" spans="1:8" ht="15.75">
      <c r="A215" s="526" t="s">
        <v>1016</v>
      </c>
      <c r="B215" s="527"/>
      <c r="C215" s="527" t="s">
        <v>1017</v>
      </c>
      <c r="D215" s="527"/>
      <c r="E215" s="527"/>
      <c r="F215" s="527"/>
      <c r="G215" s="527"/>
      <c r="H215" s="534"/>
    </row>
    <row r="216" spans="1:8" ht="15.75">
      <c r="A216" s="526" t="s">
        <v>1018</v>
      </c>
      <c r="B216" s="527"/>
      <c r="C216" s="527" t="s">
        <v>1019</v>
      </c>
      <c r="D216" s="527"/>
      <c r="E216" s="527"/>
      <c r="F216" s="527"/>
      <c r="G216" s="527"/>
      <c r="H216" s="534"/>
    </row>
    <row r="217" spans="1:8" ht="15.75">
      <c r="A217" s="526"/>
      <c r="B217" s="527"/>
      <c r="C217" s="527"/>
      <c r="D217" s="527"/>
      <c r="E217" s="527"/>
      <c r="F217" s="527"/>
      <c r="G217" s="527"/>
      <c r="H217" s="534"/>
    </row>
    <row r="218" spans="1:8" ht="15.75">
      <c r="A218" s="526" t="s">
        <v>1020</v>
      </c>
      <c r="B218" s="527"/>
      <c r="C218" s="527"/>
      <c r="D218" s="527"/>
      <c r="E218" s="527"/>
      <c r="F218" s="527"/>
      <c r="G218" s="527"/>
      <c r="H218" s="534"/>
    </row>
    <row r="219" spans="1:8" ht="15.75">
      <c r="A219" s="526"/>
      <c r="B219" s="527"/>
      <c r="C219" s="527"/>
      <c r="D219" s="527"/>
      <c r="E219" s="527"/>
      <c r="F219" s="527"/>
      <c r="G219" s="527"/>
      <c r="H219" s="534"/>
    </row>
    <row r="220" spans="1:8" ht="15.75">
      <c r="A220" s="526" t="s">
        <v>917</v>
      </c>
      <c r="B220" s="527"/>
      <c r="C220" s="527" t="s">
        <v>1021</v>
      </c>
      <c r="D220" s="527"/>
      <c r="E220" s="527"/>
      <c r="F220" s="527" t="s">
        <v>1022</v>
      </c>
      <c r="G220" s="527"/>
      <c r="H220" s="534"/>
    </row>
    <row r="221" spans="1:8" ht="15.75">
      <c r="A221" s="526" t="s">
        <v>1023</v>
      </c>
      <c r="B221" s="527"/>
      <c r="C221" s="527" t="s">
        <v>1024</v>
      </c>
      <c r="D221" s="527"/>
      <c r="E221" s="527"/>
      <c r="F221" s="527"/>
      <c r="G221" s="527"/>
      <c r="H221" s="534"/>
    </row>
    <row r="222" spans="1:8" ht="15.75">
      <c r="A222" s="526" t="s">
        <v>1025</v>
      </c>
      <c r="B222" s="527"/>
      <c r="C222" s="527" t="s">
        <v>1026</v>
      </c>
      <c r="D222" s="527"/>
      <c r="E222" s="527"/>
      <c r="F222" s="527"/>
      <c r="G222" s="527"/>
      <c r="H222" s="534"/>
    </row>
    <row r="223" spans="1:8" ht="15.75">
      <c r="A223" s="526" t="s">
        <v>1027</v>
      </c>
      <c r="B223" s="527"/>
      <c r="C223" s="527" t="s">
        <v>1028</v>
      </c>
      <c r="D223" s="527"/>
      <c r="E223" s="527"/>
      <c r="F223" s="527"/>
      <c r="G223" s="527"/>
      <c r="H223" s="534"/>
    </row>
    <row r="224" spans="1:8" ht="15.75">
      <c r="A224" s="526" t="s">
        <v>1029</v>
      </c>
      <c r="B224" s="527"/>
      <c r="C224" s="527" t="s">
        <v>1030</v>
      </c>
      <c r="D224" s="527"/>
      <c r="E224" s="527"/>
      <c r="F224" s="527"/>
      <c r="G224" s="527"/>
      <c r="H224" s="534"/>
    </row>
    <row r="225" spans="1:8" ht="15.75">
      <c r="A225" s="526"/>
      <c r="B225" s="527"/>
      <c r="C225" s="527"/>
      <c r="D225" s="527"/>
      <c r="E225" s="527"/>
      <c r="F225" s="527"/>
      <c r="G225" s="527"/>
      <c r="H225" s="534"/>
    </row>
    <row r="226" spans="1:8" ht="15.75">
      <c r="A226" s="533" t="s">
        <v>1031</v>
      </c>
      <c r="B226" s="529"/>
      <c r="C226" s="529"/>
      <c r="D226" s="529"/>
      <c r="E226" s="535"/>
      <c r="F226" s="527"/>
      <c r="G226" s="527"/>
      <c r="H226" s="534"/>
    </row>
    <row r="227" spans="1:8" ht="15.75">
      <c r="A227" s="526"/>
      <c r="B227" s="527"/>
      <c r="C227" s="527"/>
      <c r="D227" s="527"/>
      <c r="E227" s="527"/>
      <c r="F227" s="527"/>
      <c r="G227" s="527"/>
      <c r="H227" s="534"/>
    </row>
    <row r="228" spans="1:8" ht="15.75">
      <c r="A228" s="526" t="s">
        <v>1002</v>
      </c>
      <c r="B228" s="527"/>
      <c r="C228" s="527" t="s">
        <v>1021</v>
      </c>
      <c r="D228" s="527"/>
      <c r="E228" s="527"/>
      <c r="F228" s="527" t="s">
        <v>1022</v>
      </c>
      <c r="G228" s="527"/>
      <c r="H228" s="534"/>
    </row>
    <row r="229" spans="1:8" ht="15.75">
      <c r="A229" s="526" t="s">
        <v>1018</v>
      </c>
      <c r="B229" s="527"/>
      <c r="C229" s="527" t="s">
        <v>1032</v>
      </c>
      <c r="D229" s="527"/>
      <c r="E229" s="527"/>
      <c r="F229" s="527"/>
      <c r="G229" s="527"/>
      <c r="H229" s="534"/>
    </row>
    <row r="230" spans="1:8" ht="15.75">
      <c r="A230" s="526" t="s">
        <v>1033</v>
      </c>
      <c r="B230" s="527"/>
      <c r="C230" s="528" t="s">
        <v>1034</v>
      </c>
      <c r="D230" s="529"/>
      <c r="E230" s="529"/>
      <c r="F230" s="535"/>
      <c r="G230" s="536"/>
      <c r="H230" s="527"/>
    </row>
    <row r="231" spans="1:8" ht="15.75">
      <c r="A231" s="526" t="s">
        <v>1035</v>
      </c>
      <c r="B231" s="527"/>
      <c r="C231" s="527" t="s">
        <v>1036</v>
      </c>
      <c r="D231" s="527"/>
      <c r="E231" s="527"/>
      <c r="F231" s="536"/>
      <c r="G231" s="527"/>
      <c r="H231" s="534"/>
    </row>
    <row r="232" spans="1:8" ht="15.75">
      <c r="A232" s="533" t="s">
        <v>1037</v>
      </c>
      <c r="B232" s="529"/>
      <c r="C232" s="529"/>
      <c r="D232" s="529"/>
      <c r="E232" s="529"/>
      <c r="F232" s="529"/>
      <c r="G232" s="529"/>
      <c r="H232" s="530"/>
    </row>
    <row r="233" spans="1:8" ht="15.75">
      <c r="A233" s="533" t="s">
        <v>1038</v>
      </c>
      <c r="B233" s="529"/>
      <c r="C233" s="529"/>
      <c r="D233" s="529"/>
      <c r="E233" s="529"/>
      <c r="F233" s="529"/>
      <c r="G233" s="529"/>
      <c r="H233" s="530"/>
    </row>
    <row r="234" spans="1:8" ht="15.75">
      <c r="A234" s="533" t="s">
        <v>1039</v>
      </c>
      <c r="B234" s="529"/>
      <c r="C234" s="529"/>
      <c r="D234" s="529"/>
      <c r="E234" s="529"/>
      <c r="F234" s="529"/>
      <c r="G234" s="529"/>
      <c r="H234" s="530"/>
    </row>
    <row r="235" spans="1:8" ht="15.75">
      <c r="A235" s="526" t="s">
        <v>1040</v>
      </c>
      <c r="B235" s="527"/>
      <c r="C235" s="527" t="s">
        <v>1041</v>
      </c>
      <c r="D235" s="527"/>
      <c r="E235" s="527"/>
      <c r="F235" s="536"/>
      <c r="G235" s="527"/>
      <c r="H235" s="534"/>
    </row>
    <row r="236" spans="1:8" ht="15.75">
      <c r="A236" s="526" t="s">
        <v>1042</v>
      </c>
      <c r="B236" s="527"/>
      <c r="C236" s="527" t="s">
        <v>1043</v>
      </c>
      <c r="D236" s="527"/>
      <c r="E236" s="527"/>
      <c r="F236" s="527"/>
      <c r="G236" s="527"/>
      <c r="H236" s="534"/>
    </row>
    <row r="237" spans="1:8" ht="15.75">
      <c r="A237" s="533" t="s">
        <v>1044</v>
      </c>
      <c r="B237" s="529"/>
      <c r="C237" s="529"/>
      <c r="D237" s="529"/>
      <c r="E237" s="535"/>
      <c r="F237" s="527"/>
      <c r="G237" s="527"/>
      <c r="H237" s="534"/>
    </row>
    <row r="238" spans="1:8" ht="15.75">
      <c r="A238" s="526"/>
      <c r="B238" s="527"/>
      <c r="C238" s="527"/>
      <c r="D238" s="527"/>
      <c r="E238" s="527"/>
      <c r="F238" s="527"/>
      <c r="G238" s="527"/>
      <c r="H238" s="534"/>
    </row>
    <row r="239" spans="1:8" ht="15.75">
      <c r="A239" s="526" t="s">
        <v>1045</v>
      </c>
      <c r="B239" s="527"/>
      <c r="C239" s="527"/>
      <c r="D239" s="527"/>
      <c r="E239" s="527"/>
      <c r="F239" s="527"/>
      <c r="G239" s="527"/>
      <c r="H239" s="534"/>
    </row>
    <row r="240" spans="1:8" ht="15.75">
      <c r="A240" s="526"/>
      <c r="B240" s="527"/>
      <c r="C240" s="527"/>
      <c r="D240" s="527"/>
      <c r="E240" s="527"/>
      <c r="F240" s="527"/>
      <c r="G240" s="527"/>
      <c r="H240" s="534"/>
    </row>
    <row r="241" spans="1:8" ht="15.75">
      <c r="A241" s="526" t="s">
        <v>1002</v>
      </c>
      <c r="B241" s="527"/>
      <c r="C241" s="527" t="s">
        <v>1021</v>
      </c>
      <c r="D241" s="527"/>
      <c r="E241" s="527"/>
      <c r="F241" s="527" t="s">
        <v>1011</v>
      </c>
      <c r="G241" s="527"/>
      <c r="H241" s="534"/>
    </row>
    <row r="242" spans="1:8" ht="15.75">
      <c r="A242" s="526" t="s">
        <v>1044</v>
      </c>
      <c r="B242" s="527"/>
      <c r="C242" s="527" t="s">
        <v>1046</v>
      </c>
      <c r="D242" s="527"/>
      <c r="E242" s="527"/>
      <c r="F242" s="527"/>
      <c r="G242" s="527"/>
      <c r="H242" s="534"/>
    </row>
    <row r="243" spans="1:8" ht="15.75">
      <c r="A243" s="526" t="s">
        <v>1047</v>
      </c>
      <c r="B243" s="527"/>
      <c r="C243" s="527" t="s">
        <v>1048</v>
      </c>
      <c r="D243" s="527"/>
      <c r="E243" s="527"/>
      <c r="F243" s="527"/>
      <c r="G243" s="527"/>
      <c r="H243" s="534"/>
    </row>
    <row r="244" spans="1:8" ht="15.75">
      <c r="A244" s="526" t="s">
        <v>1049</v>
      </c>
      <c r="B244" s="527"/>
      <c r="C244" s="527" t="s">
        <v>1050</v>
      </c>
      <c r="D244" s="527"/>
      <c r="E244" s="527"/>
      <c r="F244" s="527"/>
      <c r="G244" s="527"/>
      <c r="H244" s="534"/>
    </row>
    <row r="245" spans="1:8" ht="15.75">
      <c r="A245" s="526"/>
      <c r="B245" s="527"/>
      <c r="C245" s="527"/>
      <c r="D245" s="527"/>
      <c r="E245" s="527"/>
      <c r="F245" s="527"/>
      <c r="G245" s="527"/>
      <c r="H245" s="534"/>
    </row>
    <row r="246" spans="1:8" ht="15.75">
      <c r="A246" s="526" t="s">
        <v>1051</v>
      </c>
      <c r="B246" s="527"/>
      <c r="C246" s="527"/>
      <c r="D246" s="527"/>
      <c r="E246" s="527"/>
      <c r="F246" s="527"/>
      <c r="G246" s="527"/>
      <c r="H246" s="534"/>
    </row>
    <row r="247" spans="1:8" ht="15.75">
      <c r="A247" s="533"/>
      <c r="B247" s="529"/>
      <c r="C247" s="529"/>
      <c r="D247" s="529"/>
      <c r="E247" s="529"/>
      <c r="F247" s="529"/>
      <c r="G247" s="529"/>
      <c r="H247" s="530"/>
    </row>
    <row r="248" spans="1:8" ht="15.75">
      <c r="A248" s="526" t="s">
        <v>1052</v>
      </c>
      <c r="B248" s="527"/>
      <c r="C248" s="528" t="s">
        <v>1011</v>
      </c>
      <c r="D248" s="529"/>
      <c r="E248" s="529"/>
      <c r="F248" s="529"/>
      <c r="G248" s="529"/>
      <c r="H248" s="530"/>
    </row>
    <row r="249" spans="1:8" ht="15.75">
      <c r="A249" s="526" t="s">
        <v>1053</v>
      </c>
      <c r="B249" s="527"/>
      <c r="C249" s="528"/>
      <c r="D249" s="529"/>
      <c r="E249" s="529"/>
      <c r="F249" s="529"/>
      <c r="G249" s="529"/>
      <c r="H249" s="530"/>
    </row>
    <row r="250" spans="1:8" ht="15.75">
      <c r="A250" s="526" t="s">
        <v>700</v>
      </c>
      <c r="B250" s="527"/>
      <c r="C250" s="528"/>
      <c r="D250" s="529"/>
      <c r="E250" s="529"/>
      <c r="F250" s="529"/>
      <c r="G250" s="529"/>
      <c r="H250" s="530"/>
    </row>
    <row r="251" spans="1:8" ht="15.75">
      <c r="A251" s="526" t="s">
        <v>1054</v>
      </c>
      <c r="B251" s="527"/>
      <c r="C251" s="528"/>
      <c r="D251" s="529"/>
      <c r="E251" s="529"/>
      <c r="F251" s="529"/>
      <c r="G251" s="529"/>
      <c r="H251" s="530"/>
    </row>
    <row r="252" spans="1:8" ht="15.75">
      <c r="A252" s="526" t="s">
        <v>1055</v>
      </c>
      <c r="B252" s="527"/>
      <c r="C252" s="528"/>
      <c r="D252" s="529"/>
      <c r="E252" s="529"/>
      <c r="F252" s="529"/>
      <c r="G252" s="529"/>
      <c r="H252" s="530"/>
    </row>
    <row r="253" spans="1:8" ht="15.75">
      <c r="A253" s="526" t="s">
        <v>1056</v>
      </c>
      <c r="B253" s="527"/>
      <c r="C253" s="528"/>
      <c r="D253" s="529"/>
      <c r="E253" s="529"/>
      <c r="F253" s="529"/>
      <c r="G253" s="529"/>
      <c r="H253" s="530"/>
    </row>
    <row r="254" spans="1:8" ht="16.5" thickBot="1">
      <c r="A254" s="531"/>
      <c r="B254" s="532"/>
      <c r="C254" s="528"/>
      <c r="D254" s="529"/>
      <c r="E254" s="529"/>
      <c r="F254" s="529"/>
      <c r="G254" s="529"/>
      <c r="H254" s="530"/>
    </row>
  </sheetData>
  <sheetProtection selectLockedCells="1"/>
  <mergeCells count="251">
    <mergeCell ref="XDR11:XDR12"/>
    <mergeCell ref="B6:C7"/>
    <mergeCell ref="A18:B19"/>
    <mergeCell ref="C18:D19"/>
    <mergeCell ref="A34:G34"/>
    <mergeCell ref="A6:A7"/>
    <mergeCell ref="A13:A15"/>
    <mergeCell ref="B32:C32"/>
    <mergeCell ref="D32:E32"/>
    <mergeCell ref="F32:G32"/>
    <mergeCell ref="B33:C33"/>
    <mergeCell ref="D33:E33"/>
    <mergeCell ref="F33:G33"/>
    <mergeCell ref="A28:G28"/>
    <mergeCell ref="A29:C29"/>
    <mergeCell ref="D29:G29"/>
    <mergeCell ref="F30:G30"/>
    <mergeCell ref="A31:G31"/>
    <mergeCell ref="A25:D25"/>
    <mergeCell ref="F25:G25"/>
    <mergeCell ref="A26:E26"/>
    <mergeCell ref="F26:G26"/>
    <mergeCell ref="A27:G27"/>
    <mergeCell ref="A22:B22"/>
    <mergeCell ref="C22:D22"/>
    <mergeCell ref="F22:G22"/>
    <mergeCell ref="A23:B23"/>
    <mergeCell ref="C23:D23"/>
    <mergeCell ref="F23:G23"/>
    <mergeCell ref="A24:B24"/>
    <mergeCell ref="C24:D24"/>
    <mergeCell ref="F24:G24"/>
    <mergeCell ref="F15:G15"/>
    <mergeCell ref="A16:F16"/>
    <mergeCell ref="A17:G17"/>
    <mergeCell ref="E18:G18"/>
    <mergeCell ref="F19:G19"/>
    <mergeCell ref="A20:B20"/>
    <mergeCell ref="C20:D20"/>
    <mergeCell ref="F20:G20"/>
    <mergeCell ref="A21:B21"/>
    <mergeCell ref="C21:D21"/>
    <mergeCell ref="F21:G21"/>
    <mergeCell ref="A35:F35"/>
    <mergeCell ref="A36:D36"/>
    <mergeCell ref="A37:A38"/>
    <mergeCell ref="B37:B38"/>
    <mergeCell ref="C37:C38"/>
    <mergeCell ref="D37:D38"/>
    <mergeCell ref="A1:G1"/>
    <mergeCell ref="B2:F2"/>
    <mergeCell ref="B3:G3"/>
    <mergeCell ref="B4:G4"/>
    <mergeCell ref="B5:C5"/>
    <mergeCell ref="E5:G5"/>
    <mergeCell ref="E6:G6"/>
    <mergeCell ref="E7:G7"/>
    <mergeCell ref="E8:G8"/>
    <mergeCell ref="B9:C9"/>
    <mergeCell ref="E9:G9"/>
    <mergeCell ref="B10:G10"/>
    <mergeCell ref="B11:G11"/>
    <mergeCell ref="B12:G12"/>
    <mergeCell ref="B13:F13"/>
    <mergeCell ref="B14:C14"/>
    <mergeCell ref="D14:G14"/>
    <mergeCell ref="B15:C15"/>
    <mergeCell ref="B78:E78"/>
    <mergeCell ref="A79:D79"/>
    <mergeCell ref="A80:D80"/>
    <mergeCell ref="A81:A82"/>
    <mergeCell ref="B81:B82"/>
    <mergeCell ref="C81:C82"/>
    <mergeCell ref="D81:D82"/>
    <mergeCell ref="A51:E51"/>
    <mergeCell ref="A52:E52"/>
    <mergeCell ref="A53:A54"/>
    <mergeCell ref="B53:B54"/>
    <mergeCell ref="C53:C54"/>
    <mergeCell ref="D53:D54"/>
    <mergeCell ref="E53:E54"/>
    <mergeCell ref="B143:E143"/>
    <mergeCell ref="A150:E150"/>
    <mergeCell ref="A151:E151"/>
    <mergeCell ref="A152:E152"/>
    <mergeCell ref="A163:E163"/>
    <mergeCell ref="B106:D106"/>
    <mergeCell ref="A107:D107"/>
    <mergeCell ref="A108:B108"/>
    <mergeCell ref="C108:F108"/>
    <mergeCell ref="A119:E119"/>
    <mergeCell ref="A190:B190"/>
    <mergeCell ref="C190:H190"/>
    <mergeCell ref="A191:B191"/>
    <mergeCell ref="C191:H191"/>
    <mergeCell ref="A192:B192"/>
    <mergeCell ref="C192:H192"/>
    <mergeCell ref="A164:E164"/>
    <mergeCell ref="D168:D186"/>
    <mergeCell ref="A187:H187"/>
    <mergeCell ref="A188:H188"/>
    <mergeCell ref="A189:H189"/>
    <mergeCell ref="A197:E198"/>
    <mergeCell ref="F197:H198"/>
    <mergeCell ref="A199:B199"/>
    <mergeCell ref="C199:H199"/>
    <mergeCell ref="C200:H200"/>
    <mergeCell ref="A193:B193"/>
    <mergeCell ref="C193:H193"/>
    <mergeCell ref="A194:H195"/>
    <mergeCell ref="A196:B196"/>
    <mergeCell ref="C196:H196"/>
    <mergeCell ref="A205:B205"/>
    <mergeCell ref="C205:E205"/>
    <mergeCell ref="F205:H205"/>
    <mergeCell ref="A206:B206"/>
    <mergeCell ref="C206:E206"/>
    <mergeCell ref="F206:H206"/>
    <mergeCell ref="A201:H201"/>
    <mergeCell ref="A202:H202"/>
    <mergeCell ref="A203:H203"/>
    <mergeCell ref="A204:B204"/>
    <mergeCell ref="C204:E204"/>
    <mergeCell ref="F204:H204"/>
    <mergeCell ref="A209:B209"/>
    <mergeCell ref="C209:E209"/>
    <mergeCell ref="F209:H209"/>
    <mergeCell ref="A210:B210"/>
    <mergeCell ref="C210:E210"/>
    <mergeCell ref="F210:H210"/>
    <mergeCell ref="A207:B207"/>
    <mergeCell ref="C207:E207"/>
    <mergeCell ref="F207:H207"/>
    <mergeCell ref="A208:B208"/>
    <mergeCell ref="C208:E208"/>
    <mergeCell ref="F208:H208"/>
    <mergeCell ref="A213:B213"/>
    <mergeCell ref="C213:E213"/>
    <mergeCell ref="F213:H213"/>
    <mergeCell ref="A214:B214"/>
    <mergeCell ref="C214:E214"/>
    <mergeCell ref="F214:H214"/>
    <mergeCell ref="A211:B211"/>
    <mergeCell ref="C211:E211"/>
    <mergeCell ref="F211:H211"/>
    <mergeCell ref="A212:B212"/>
    <mergeCell ref="C212:E212"/>
    <mergeCell ref="F212:H212"/>
    <mergeCell ref="A217:B217"/>
    <mergeCell ref="C217:E217"/>
    <mergeCell ref="F217:H217"/>
    <mergeCell ref="A218:B218"/>
    <mergeCell ref="C218:E218"/>
    <mergeCell ref="F218:H218"/>
    <mergeCell ref="A215:B215"/>
    <mergeCell ref="C215:E215"/>
    <mergeCell ref="F215:H215"/>
    <mergeCell ref="A216:B216"/>
    <mergeCell ref="C216:E216"/>
    <mergeCell ref="F216:H216"/>
    <mergeCell ref="A221:B221"/>
    <mergeCell ref="C221:E221"/>
    <mergeCell ref="F221:H221"/>
    <mergeCell ref="A222:B222"/>
    <mergeCell ref="C222:E222"/>
    <mergeCell ref="F222:H222"/>
    <mergeCell ref="A219:B219"/>
    <mergeCell ref="C219:E219"/>
    <mergeCell ref="F219:H219"/>
    <mergeCell ref="A220:B220"/>
    <mergeCell ref="C220:E220"/>
    <mergeCell ref="F220:H220"/>
    <mergeCell ref="A225:B225"/>
    <mergeCell ref="C225:E225"/>
    <mergeCell ref="F225:H225"/>
    <mergeCell ref="A226:E226"/>
    <mergeCell ref="F226:H226"/>
    <mergeCell ref="A223:B223"/>
    <mergeCell ref="C223:E223"/>
    <mergeCell ref="F223:H223"/>
    <mergeCell ref="A224:B224"/>
    <mergeCell ref="C224:E224"/>
    <mergeCell ref="F224:H224"/>
    <mergeCell ref="A229:B229"/>
    <mergeCell ref="C229:E229"/>
    <mergeCell ref="F229:H229"/>
    <mergeCell ref="A230:B230"/>
    <mergeCell ref="C230:F230"/>
    <mergeCell ref="G230:H230"/>
    <mergeCell ref="A227:B227"/>
    <mergeCell ref="C227:E227"/>
    <mergeCell ref="F227:H227"/>
    <mergeCell ref="A228:B228"/>
    <mergeCell ref="C228:E228"/>
    <mergeCell ref="F228:H228"/>
    <mergeCell ref="A234:H234"/>
    <mergeCell ref="A235:B235"/>
    <mergeCell ref="C235:E235"/>
    <mergeCell ref="F235:H235"/>
    <mergeCell ref="A236:B236"/>
    <mergeCell ref="C236:E236"/>
    <mergeCell ref="F236:H236"/>
    <mergeCell ref="A231:B231"/>
    <mergeCell ref="C231:E231"/>
    <mergeCell ref="F231:H231"/>
    <mergeCell ref="A232:H232"/>
    <mergeCell ref="A233:H233"/>
    <mergeCell ref="A239:B239"/>
    <mergeCell ref="C239:E239"/>
    <mergeCell ref="F239:H239"/>
    <mergeCell ref="A240:B240"/>
    <mergeCell ref="C240:E240"/>
    <mergeCell ref="F240:H240"/>
    <mergeCell ref="A237:E237"/>
    <mergeCell ref="F237:H237"/>
    <mergeCell ref="A238:B238"/>
    <mergeCell ref="C238:E238"/>
    <mergeCell ref="F238:H238"/>
    <mergeCell ref="A243:B243"/>
    <mergeCell ref="C243:E243"/>
    <mergeCell ref="F243:H243"/>
    <mergeCell ref="A244:B244"/>
    <mergeCell ref="C244:E244"/>
    <mergeCell ref="F244:H244"/>
    <mergeCell ref="A241:B241"/>
    <mergeCell ref="C241:E241"/>
    <mergeCell ref="F241:H241"/>
    <mergeCell ref="A242:B242"/>
    <mergeCell ref="C242:E242"/>
    <mergeCell ref="F242:H242"/>
    <mergeCell ref="A247:H247"/>
    <mergeCell ref="A248:B248"/>
    <mergeCell ref="C248:H248"/>
    <mergeCell ref="A249:B249"/>
    <mergeCell ref="C249:H249"/>
    <mergeCell ref="A245:B245"/>
    <mergeCell ref="C245:E245"/>
    <mergeCell ref="F245:H245"/>
    <mergeCell ref="A246:B246"/>
    <mergeCell ref="C246:E246"/>
    <mergeCell ref="F246:H246"/>
    <mergeCell ref="A253:B253"/>
    <mergeCell ref="C253:H253"/>
    <mergeCell ref="A254:B254"/>
    <mergeCell ref="C254:H254"/>
    <mergeCell ref="A250:B250"/>
    <mergeCell ref="C250:H250"/>
    <mergeCell ref="A251:B251"/>
    <mergeCell ref="C251:H251"/>
    <mergeCell ref="A252:B252"/>
    <mergeCell ref="C252:H252"/>
  </mergeCells>
  <dataValidations count="2">
    <dataValidation type="list" allowBlank="1" showInputMessage="1" showErrorMessage="1" sqref="C8:G8 E6:G7" xr:uid="{00000000-0002-0000-0200-000000000000}">
      <formula1>#REF!</formula1>
    </dataValidation>
    <dataValidation type="date" operator="greaterThanOrEqual" allowBlank="1" showInputMessage="1" showErrorMessage="1" error="Enter Date in dd/mm/yyyy format" sqref="F15:G15" xr:uid="{00000000-0002-0000-0200-000001000000}">
      <formula1>43101</formula1>
    </dataValidation>
  </dataValidations>
  <pageMargins left="0.62992125984252001" right="0.27559055118110198" top="1.02362204724409" bottom="0.74803149606299202" header="0.31496062992126" footer="0.31496062992126"/>
  <pageSetup paperSize="9" scale="78" fitToHeight="0" orientation="portrait"/>
  <headerFooter>
    <oddHeader>&amp;L&amp;G</oddHeader>
    <oddFooter>&amp;CPage &amp;P</oddFooter>
  </headerFooter>
  <legacyDrawingHF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LIST!$A$30:$A$34</xm:f>
          </x14:formula1>
          <xm:sqref>C20:D24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pageSetUpPr fitToPage="1"/>
  </sheetPr>
  <dimension ref="A1:AG85"/>
  <sheetViews>
    <sheetView showGridLines="0" topLeftCell="A10" zoomScalePageLayoutView="125" workbookViewId="0">
      <selection activeCell="G6" sqref="G6:H34"/>
    </sheetView>
  </sheetViews>
  <sheetFormatPr defaultColWidth="11" defaultRowHeight="15.75"/>
  <cols>
    <col min="1" max="1" width="21" customWidth="1"/>
    <col min="2" max="2" width="2.875" customWidth="1"/>
    <col min="3" max="3" width="2.75" customWidth="1"/>
    <col min="4" max="4" width="2.5" customWidth="1"/>
    <col min="5" max="5" width="2.25" customWidth="1"/>
    <col min="6" max="6" width="3.375" customWidth="1"/>
    <col min="7" max="8" width="9.375" customWidth="1"/>
    <col min="9" max="9" width="2.75" customWidth="1"/>
    <col min="10" max="10" width="2.875" customWidth="1"/>
    <col min="11" max="11" width="2.5" customWidth="1"/>
    <col min="12" max="13" width="2.75" customWidth="1"/>
    <col min="14" max="14" width="9.5" customWidth="1"/>
    <col min="15" max="15" width="9.25" customWidth="1"/>
    <col min="16" max="16" width="2.375" customWidth="1"/>
    <col min="17" max="17" width="2.875" customWidth="1"/>
    <col min="18" max="18" width="2.625" customWidth="1"/>
    <col min="19" max="19" width="2.5" customWidth="1"/>
    <col min="20" max="20" width="3.375" customWidth="1"/>
    <col min="21" max="21" width="9.75" customWidth="1"/>
    <col min="22" max="22" width="10.25" customWidth="1"/>
    <col min="23" max="23" width="2.5" customWidth="1"/>
    <col min="24" max="25" width="3" customWidth="1"/>
    <col min="26" max="26" width="3.125" customWidth="1"/>
    <col min="27" max="27" width="2.75" customWidth="1"/>
    <col min="28" max="28" width="12.625" customWidth="1"/>
    <col min="29" max="29" width="13.25" customWidth="1"/>
    <col min="30" max="30" width="4.625" customWidth="1"/>
    <col min="31" max="31" width="5.5" customWidth="1"/>
    <col min="32" max="32" width="10.125" customWidth="1"/>
  </cols>
  <sheetData>
    <row r="1" spans="1:33" ht="21.75" customHeight="1">
      <c r="A1" s="674" t="s">
        <v>14</v>
      </c>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D1" s="19"/>
      <c r="AE1" s="19"/>
      <c r="AF1" s="19"/>
      <c r="AG1" s="21"/>
    </row>
    <row r="2" spans="1:33" ht="27.75" customHeight="1">
      <c r="A2" s="676" t="s">
        <v>813</v>
      </c>
      <c r="B2" s="676"/>
      <c r="C2" s="676"/>
      <c r="D2" s="676"/>
      <c r="E2" s="676"/>
      <c r="F2" s="676"/>
      <c r="G2" s="676"/>
      <c r="H2" s="676"/>
      <c r="I2" s="676"/>
      <c r="J2" s="676"/>
      <c r="K2" s="676"/>
      <c r="L2" s="676"/>
      <c r="M2" s="676"/>
      <c r="N2" s="676"/>
      <c r="O2" s="676"/>
      <c r="P2" s="676"/>
      <c r="Q2" s="676"/>
      <c r="R2" s="676"/>
      <c r="S2" s="676"/>
      <c r="T2" s="676"/>
      <c r="U2" s="676"/>
      <c r="V2" s="676"/>
      <c r="W2" s="676"/>
      <c r="X2" s="676"/>
      <c r="Y2" s="676"/>
      <c r="Z2" s="676"/>
      <c r="AA2" s="676"/>
      <c r="AG2" s="19"/>
    </row>
    <row r="3" spans="1:33" s="42" customFormat="1" ht="27.75" customHeight="1">
      <c r="A3" s="680" t="s">
        <v>383</v>
      </c>
      <c r="B3" s="677" t="s">
        <v>384</v>
      </c>
      <c r="C3" s="678"/>
      <c r="D3" s="678"/>
      <c r="E3" s="678"/>
      <c r="F3" s="679"/>
      <c r="G3" s="677" t="s">
        <v>385</v>
      </c>
      <c r="H3" s="679"/>
      <c r="I3" s="677" t="s">
        <v>386</v>
      </c>
      <c r="J3" s="678"/>
      <c r="K3" s="678"/>
      <c r="L3" s="678"/>
      <c r="M3" s="679"/>
      <c r="N3" s="677" t="s">
        <v>385</v>
      </c>
      <c r="O3" s="679"/>
      <c r="P3" s="677" t="s">
        <v>387</v>
      </c>
      <c r="Q3" s="678"/>
      <c r="R3" s="678"/>
      <c r="S3" s="678"/>
      <c r="T3" s="678"/>
      <c r="U3" s="527" t="s">
        <v>385</v>
      </c>
      <c r="V3" s="527"/>
      <c r="W3" s="527" t="s">
        <v>388</v>
      </c>
      <c r="X3" s="527"/>
      <c r="Y3" s="527"/>
      <c r="Z3" s="527"/>
      <c r="AA3" s="527"/>
      <c r="AG3" s="43"/>
    </row>
    <row r="4" spans="1:33" s="42" customFormat="1" ht="27.75" customHeight="1">
      <c r="A4" s="681"/>
      <c r="B4" s="677"/>
      <c r="C4" s="678"/>
      <c r="D4" s="678"/>
      <c r="E4" s="678"/>
      <c r="F4" s="679"/>
      <c r="G4" s="689"/>
      <c r="H4" s="690"/>
      <c r="I4" s="677"/>
      <c r="J4" s="678"/>
      <c r="K4" s="678"/>
      <c r="L4" s="678"/>
      <c r="M4" s="679"/>
      <c r="N4" s="689"/>
      <c r="O4" s="690"/>
      <c r="P4" s="677"/>
      <c r="Q4" s="678"/>
      <c r="R4" s="678"/>
      <c r="S4" s="678"/>
      <c r="T4" s="679"/>
      <c r="U4" s="527"/>
      <c r="V4" s="527"/>
      <c r="W4" s="528"/>
      <c r="X4" s="529"/>
      <c r="Y4" s="529"/>
      <c r="Z4" s="529"/>
      <c r="AA4" s="535"/>
      <c r="AG4" s="43"/>
    </row>
    <row r="5" spans="1:33" ht="33" customHeight="1">
      <c r="A5" s="682"/>
      <c r="B5" s="683" t="s">
        <v>389</v>
      </c>
      <c r="C5" s="684"/>
      <c r="D5" s="684"/>
      <c r="E5" s="684"/>
      <c r="F5" s="685"/>
      <c r="G5" s="691"/>
      <c r="H5" s="692"/>
      <c r="I5" s="683" t="s">
        <v>389</v>
      </c>
      <c r="J5" s="684"/>
      <c r="K5" s="684"/>
      <c r="L5" s="684"/>
      <c r="M5" s="685"/>
      <c r="N5" s="691"/>
      <c r="O5" s="692"/>
      <c r="P5" s="683" t="s">
        <v>389</v>
      </c>
      <c r="Q5" s="684"/>
      <c r="R5" s="684"/>
      <c r="S5" s="684"/>
      <c r="T5" s="685"/>
      <c r="U5" s="527"/>
      <c r="V5" s="527"/>
      <c r="W5" s="683" t="s">
        <v>389</v>
      </c>
      <c r="X5" s="684"/>
      <c r="Y5" s="684"/>
      <c r="Z5" s="684"/>
      <c r="AA5" s="685"/>
      <c r="AG5" s="19"/>
    </row>
    <row r="6" spans="1:33" ht="111" customHeight="1">
      <c r="A6" s="44" t="s">
        <v>814</v>
      </c>
      <c r="B6" s="686" t="s">
        <v>390</v>
      </c>
      <c r="C6" s="687"/>
      <c r="D6" s="687"/>
      <c r="E6" s="687"/>
      <c r="F6" s="688"/>
      <c r="G6" s="693"/>
      <c r="H6" s="694"/>
      <c r="I6" s="686" t="s">
        <v>390</v>
      </c>
      <c r="J6" s="687"/>
      <c r="K6" s="687"/>
      <c r="L6" s="687"/>
      <c r="M6" s="688"/>
      <c r="N6" s="693"/>
      <c r="O6" s="694"/>
      <c r="P6" s="686" t="s">
        <v>390</v>
      </c>
      <c r="Q6" s="687"/>
      <c r="R6" s="687"/>
      <c r="S6" s="687"/>
      <c r="T6" s="688"/>
      <c r="U6" s="693"/>
      <c r="V6" s="694"/>
      <c r="W6" s="686" t="s">
        <v>390</v>
      </c>
      <c r="X6" s="687"/>
      <c r="Y6" s="687"/>
      <c r="Z6" s="687"/>
      <c r="AA6" s="688"/>
      <c r="AG6" s="45"/>
    </row>
    <row r="7" spans="1:33" ht="123" customHeight="1">
      <c r="A7" s="44" t="s">
        <v>815</v>
      </c>
      <c r="B7" s="686" t="s">
        <v>390</v>
      </c>
      <c r="C7" s="687"/>
      <c r="D7" s="687"/>
      <c r="E7" s="687"/>
      <c r="F7" s="688"/>
      <c r="G7" s="695"/>
      <c r="H7" s="696"/>
      <c r="I7" s="686" t="s">
        <v>390</v>
      </c>
      <c r="J7" s="687"/>
      <c r="K7" s="687"/>
      <c r="L7" s="687"/>
      <c r="M7" s="688"/>
      <c r="N7" s="695"/>
      <c r="O7" s="696"/>
      <c r="P7" s="686" t="s">
        <v>390</v>
      </c>
      <c r="Q7" s="687"/>
      <c r="R7" s="687"/>
      <c r="S7" s="687"/>
      <c r="T7" s="688"/>
      <c r="U7" s="695"/>
      <c r="V7" s="696"/>
      <c r="W7" s="686" t="s">
        <v>390</v>
      </c>
      <c r="X7" s="687"/>
      <c r="Y7" s="687"/>
      <c r="Z7" s="687"/>
      <c r="AA7" s="688"/>
      <c r="AG7" s="19"/>
    </row>
    <row r="8" spans="1:33" ht="48" customHeight="1">
      <c r="A8" s="44" t="s">
        <v>392</v>
      </c>
      <c r="B8" s="686" t="s">
        <v>390</v>
      </c>
      <c r="C8" s="687"/>
      <c r="D8" s="687"/>
      <c r="E8" s="687"/>
      <c r="F8" s="688"/>
      <c r="G8" s="695"/>
      <c r="H8" s="696"/>
      <c r="I8" s="686" t="s">
        <v>390</v>
      </c>
      <c r="J8" s="687"/>
      <c r="K8" s="687"/>
      <c r="L8" s="687"/>
      <c r="M8" s="688"/>
      <c r="N8" s="695"/>
      <c r="O8" s="696"/>
      <c r="P8" s="686" t="s">
        <v>390</v>
      </c>
      <c r="Q8" s="687"/>
      <c r="R8" s="687"/>
      <c r="S8" s="687"/>
      <c r="T8" s="688"/>
      <c r="U8" s="695"/>
      <c r="V8" s="696"/>
      <c r="W8" s="686" t="s">
        <v>390</v>
      </c>
      <c r="X8" s="687"/>
      <c r="Y8" s="687"/>
      <c r="Z8" s="687"/>
      <c r="AA8" s="688"/>
      <c r="AG8" s="19"/>
    </row>
    <row r="9" spans="1:33" ht="48.75" customHeight="1">
      <c r="A9" s="44" t="s">
        <v>393</v>
      </c>
      <c r="B9" s="686" t="s">
        <v>390</v>
      </c>
      <c r="C9" s="687"/>
      <c r="D9" s="687"/>
      <c r="E9" s="687"/>
      <c r="F9" s="688"/>
      <c r="G9" s="695"/>
      <c r="H9" s="696"/>
      <c r="I9" s="686" t="s">
        <v>390</v>
      </c>
      <c r="J9" s="687"/>
      <c r="K9" s="687"/>
      <c r="L9" s="687"/>
      <c r="M9" s="688"/>
      <c r="N9" s="695"/>
      <c r="O9" s="696"/>
      <c r="P9" s="686" t="s">
        <v>390</v>
      </c>
      <c r="Q9" s="687"/>
      <c r="R9" s="687"/>
      <c r="S9" s="687"/>
      <c r="T9" s="688"/>
      <c r="U9" s="695"/>
      <c r="V9" s="696"/>
      <c r="W9" s="686" t="s">
        <v>390</v>
      </c>
      <c r="X9" s="687"/>
      <c r="Y9" s="687"/>
      <c r="Z9" s="687"/>
      <c r="AA9" s="688"/>
      <c r="AG9" s="19"/>
    </row>
    <row r="10" spans="1:33" ht="48.75" customHeight="1">
      <c r="A10" s="44" t="s">
        <v>394</v>
      </c>
      <c r="B10" s="686" t="s">
        <v>390</v>
      </c>
      <c r="C10" s="687"/>
      <c r="D10" s="687"/>
      <c r="E10" s="687"/>
      <c r="F10" s="688"/>
      <c r="G10" s="695"/>
      <c r="H10" s="696"/>
      <c r="I10" s="686" t="s">
        <v>390</v>
      </c>
      <c r="J10" s="687"/>
      <c r="K10" s="687"/>
      <c r="L10" s="687"/>
      <c r="M10" s="688"/>
      <c r="N10" s="695"/>
      <c r="O10" s="696"/>
      <c r="P10" s="686" t="s">
        <v>390</v>
      </c>
      <c r="Q10" s="687"/>
      <c r="R10" s="687"/>
      <c r="S10" s="687"/>
      <c r="T10" s="688"/>
      <c r="U10" s="695"/>
      <c r="V10" s="696"/>
      <c r="W10" s="686" t="s">
        <v>390</v>
      </c>
      <c r="X10" s="687"/>
      <c r="Y10" s="687"/>
      <c r="Z10" s="687"/>
      <c r="AA10" s="688"/>
      <c r="AG10" s="19"/>
    </row>
    <row r="11" spans="1:33" ht="30.75" customHeight="1">
      <c r="A11" s="44" t="s">
        <v>395</v>
      </c>
      <c r="B11" s="686" t="s">
        <v>390</v>
      </c>
      <c r="C11" s="687"/>
      <c r="D11" s="687"/>
      <c r="E11" s="687"/>
      <c r="F11" s="688"/>
      <c r="G11" s="695"/>
      <c r="H11" s="696"/>
      <c r="I11" s="686" t="s">
        <v>390</v>
      </c>
      <c r="J11" s="687"/>
      <c r="K11" s="687"/>
      <c r="L11" s="687"/>
      <c r="M11" s="688"/>
      <c r="N11" s="695"/>
      <c r="O11" s="696"/>
      <c r="P11" s="686" t="s">
        <v>390</v>
      </c>
      <c r="Q11" s="687"/>
      <c r="R11" s="687"/>
      <c r="S11" s="687"/>
      <c r="T11" s="688"/>
      <c r="U11" s="695"/>
      <c r="V11" s="696"/>
      <c r="W11" s="686" t="s">
        <v>390</v>
      </c>
      <c r="X11" s="687"/>
      <c r="Y11" s="687"/>
      <c r="Z11" s="687"/>
      <c r="AA11" s="688"/>
      <c r="AG11" s="19"/>
    </row>
    <row r="12" spans="1:33" ht="63" customHeight="1">
      <c r="A12" s="44" t="s">
        <v>396</v>
      </c>
      <c r="B12" s="686" t="s">
        <v>390</v>
      </c>
      <c r="C12" s="687"/>
      <c r="D12" s="687"/>
      <c r="E12" s="687"/>
      <c r="F12" s="688"/>
      <c r="G12" s="695"/>
      <c r="H12" s="696"/>
      <c r="I12" s="686" t="s">
        <v>390</v>
      </c>
      <c r="J12" s="687"/>
      <c r="K12" s="687"/>
      <c r="L12" s="687"/>
      <c r="M12" s="688"/>
      <c r="N12" s="695"/>
      <c r="O12" s="696"/>
      <c r="P12" s="686" t="s">
        <v>390</v>
      </c>
      <c r="Q12" s="687"/>
      <c r="R12" s="687"/>
      <c r="S12" s="687"/>
      <c r="T12" s="688"/>
      <c r="U12" s="695"/>
      <c r="V12" s="696"/>
      <c r="W12" s="686" t="s">
        <v>390</v>
      </c>
      <c r="X12" s="687"/>
      <c r="Y12" s="687"/>
      <c r="Z12" s="687"/>
      <c r="AA12" s="688"/>
      <c r="AG12" s="19"/>
    </row>
    <row r="13" spans="1:33" ht="46.5" customHeight="1">
      <c r="A13" s="44" t="s">
        <v>397</v>
      </c>
      <c r="B13" s="686" t="s">
        <v>390</v>
      </c>
      <c r="C13" s="687"/>
      <c r="D13" s="687"/>
      <c r="E13" s="687"/>
      <c r="F13" s="688"/>
      <c r="G13" s="695"/>
      <c r="H13" s="696"/>
      <c r="I13" s="686" t="s">
        <v>390</v>
      </c>
      <c r="J13" s="687"/>
      <c r="K13" s="687"/>
      <c r="L13" s="687"/>
      <c r="M13" s="688"/>
      <c r="N13" s="695"/>
      <c r="O13" s="696"/>
      <c r="P13" s="686" t="s">
        <v>390</v>
      </c>
      <c r="Q13" s="687"/>
      <c r="R13" s="687"/>
      <c r="S13" s="687"/>
      <c r="T13" s="688"/>
      <c r="U13" s="695"/>
      <c r="V13" s="696"/>
      <c r="W13" s="686" t="s">
        <v>390</v>
      </c>
      <c r="X13" s="687"/>
      <c r="Y13" s="687"/>
      <c r="Z13" s="687"/>
      <c r="AA13" s="688"/>
      <c r="AG13" s="19"/>
    </row>
    <row r="14" spans="1:33" ht="47.25">
      <c r="A14" s="44" t="s">
        <v>398</v>
      </c>
      <c r="B14" s="686" t="s">
        <v>390</v>
      </c>
      <c r="C14" s="687"/>
      <c r="D14" s="687"/>
      <c r="E14" s="687"/>
      <c r="F14" s="688"/>
      <c r="G14" s="695"/>
      <c r="H14" s="696"/>
      <c r="I14" s="686" t="s">
        <v>390</v>
      </c>
      <c r="J14" s="687"/>
      <c r="K14" s="687"/>
      <c r="L14" s="687"/>
      <c r="M14" s="688"/>
      <c r="N14" s="695"/>
      <c r="O14" s="696"/>
      <c r="P14" s="686" t="s">
        <v>390</v>
      </c>
      <c r="Q14" s="687"/>
      <c r="R14" s="687"/>
      <c r="S14" s="687"/>
      <c r="T14" s="688"/>
      <c r="U14" s="695"/>
      <c r="V14" s="696"/>
      <c r="W14" s="686" t="s">
        <v>390</v>
      </c>
      <c r="X14" s="687"/>
      <c r="Y14" s="687"/>
      <c r="Z14" s="687"/>
      <c r="AA14" s="688"/>
    </row>
    <row r="15" spans="1:33">
      <c r="A15" s="44" t="s">
        <v>399</v>
      </c>
      <c r="B15" s="686" t="s">
        <v>390</v>
      </c>
      <c r="C15" s="687"/>
      <c r="D15" s="687"/>
      <c r="E15" s="687"/>
      <c r="F15" s="688"/>
      <c r="G15" s="695"/>
      <c r="H15" s="696"/>
      <c r="I15" s="686" t="s">
        <v>390</v>
      </c>
      <c r="J15" s="687"/>
      <c r="K15" s="687"/>
      <c r="L15" s="687"/>
      <c r="M15" s="688"/>
      <c r="N15" s="695"/>
      <c r="O15" s="696"/>
      <c r="P15" s="686" t="s">
        <v>390</v>
      </c>
      <c r="Q15" s="687"/>
      <c r="R15" s="687"/>
      <c r="S15" s="687"/>
      <c r="T15" s="688"/>
      <c r="U15" s="695"/>
      <c r="V15" s="696"/>
      <c r="W15" s="686" t="s">
        <v>390</v>
      </c>
      <c r="X15" s="687"/>
      <c r="Y15" s="687"/>
      <c r="Z15" s="687"/>
      <c r="AA15" s="688"/>
    </row>
    <row r="16" spans="1:33" ht="24" customHeight="1">
      <c r="A16" s="44" t="s">
        <v>400</v>
      </c>
      <c r="B16" s="686" t="s">
        <v>390</v>
      </c>
      <c r="C16" s="687"/>
      <c r="D16" s="687"/>
      <c r="E16" s="687"/>
      <c r="F16" s="688"/>
      <c r="G16" s="695"/>
      <c r="H16" s="696"/>
      <c r="I16" s="686" t="s">
        <v>390</v>
      </c>
      <c r="J16" s="687"/>
      <c r="K16" s="687"/>
      <c r="L16" s="687"/>
      <c r="M16" s="688"/>
      <c r="N16" s="695"/>
      <c r="O16" s="696"/>
      <c r="P16" s="686" t="s">
        <v>390</v>
      </c>
      <c r="Q16" s="687"/>
      <c r="R16" s="687"/>
      <c r="S16" s="687"/>
      <c r="T16" s="688"/>
      <c r="U16" s="695"/>
      <c r="V16" s="696"/>
      <c r="W16" s="686" t="s">
        <v>390</v>
      </c>
      <c r="X16" s="687"/>
      <c r="Y16" s="687"/>
      <c r="Z16" s="687"/>
      <c r="AA16" s="688"/>
    </row>
    <row r="17" spans="1:27" ht="24" customHeight="1">
      <c r="A17" s="44" t="s">
        <v>401</v>
      </c>
      <c r="B17" s="686" t="s">
        <v>390</v>
      </c>
      <c r="C17" s="687"/>
      <c r="D17" s="687"/>
      <c r="E17" s="687"/>
      <c r="F17" s="688"/>
      <c r="G17" s="695"/>
      <c r="H17" s="696"/>
      <c r="I17" s="686" t="s">
        <v>390</v>
      </c>
      <c r="J17" s="687"/>
      <c r="K17" s="687"/>
      <c r="L17" s="687"/>
      <c r="M17" s="688"/>
      <c r="N17" s="695"/>
      <c r="O17" s="696"/>
      <c r="P17" s="686" t="s">
        <v>390</v>
      </c>
      <c r="Q17" s="687"/>
      <c r="R17" s="687"/>
      <c r="S17" s="687"/>
      <c r="T17" s="688"/>
      <c r="U17" s="695"/>
      <c r="V17" s="696"/>
      <c r="W17" s="686" t="s">
        <v>390</v>
      </c>
      <c r="X17" s="687"/>
      <c r="Y17" s="687"/>
      <c r="Z17" s="687"/>
      <c r="AA17" s="688"/>
    </row>
    <row r="18" spans="1:27" ht="23.1" customHeight="1">
      <c r="A18" s="44" t="s">
        <v>402</v>
      </c>
      <c r="B18" s="686" t="s">
        <v>390</v>
      </c>
      <c r="C18" s="687"/>
      <c r="D18" s="687"/>
      <c r="E18" s="687"/>
      <c r="F18" s="688"/>
      <c r="G18" s="695"/>
      <c r="H18" s="696"/>
      <c r="I18" s="686" t="s">
        <v>390</v>
      </c>
      <c r="J18" s="687"/>
      <c r="K18" s="687"/>
      <c r="L18" s="687"/>
      <c r="M18" s="688"/>
      <c r="N18" s="695"/>
      <c r="O18" s="696"/>
      <c r="P18" s="686" t="s">
        <v>390</v>
      </c>
      <c r="Q18" s="687"/>
      <c r="R18" s="687"/>
      <c r="S18" s="687"/>
      <c r="T18" s="688"/>
      <c r="U18" s="695"/>
      <c r="V18" s="696"/>
      <c r="W18" s="686" t="s">
        <v>390</v>
      </c>
      <c r="X18" s="687"/>
      <c r="Y18" s="687"/>
      <c r="Z18" s="687"/>
      <c r="AA18" s="688"/>
    </row>
    <row r="19" spans="1:27">
      <c r="A19" s="44" t="s">
        <v>403</v>
      </c>
      <c r="B19" s="686" t="s">
        <v>390</v>
      </c>
      <c r="C19" s="687"/>
      <c r="D19" s="687"/>
      <c r="E19" s="687"/>
      <c r="F19" s="688"/>
      <c r="G19" s="695"/>
      <c r="H19" s="696"/>
      <c r="I19" s="686" t="s">
        <v>390</v>
      </c>
      <c r="J19" s="687"/>
      <c r="K19" s="687"/>
      <c r="L19" s="687"/>
      <c r="M19" s="688"/>
      <c r="N19" s="695"/>
      <c r="O19" s="696"/>
      <c r="P19" s="686" t="s">
        <v>390</v>
      </c>
      <c r="Q19" s="687"/>
      <c r="R19" s="687"/>
      <c r="S19" s="687"/>
      <c r="T19" s="688"/>
      <c r="U19" s="695"/>
      <c r="V19" s="696"/>
      <c r="W19" s="686" t="s">
        <v>390</v>
      </c>
      <c r="X19" s="687"/>
      <c r="Y19" s="687"/>
      <c r="Z19" s="687"/>
      <c r="AA19" s="688"/>
    </row>
    <row r="20" spans="1:27" ht="31.5">
      <c r="A20" s="44" t="s">
        <v>404</v>
      </c>
      <c r="B20" s="686" t="s">
        <v>390</v>
      </c>
      <c r="C20" s="687"/>
      <c r="D20" s="687"/>
      <c r="E20" s="687"/>
      <c r="F20" s="688"/>
      <c r="G20" s="695"/>
      <c r="H20" s="696"/>
      <c r="I20" s="686" t="s">
        <v>390</v>
      </c>
      <c r="J20" s="687"/>
      <c r="K20" s="687"/>
      <c r="L20" s="687"/>
      <c r="M20" s="688"/>
      <c r="N20" s="695"/>
      <c r="O20" s="696"/>
      <c r="P20" s="686" t="s">
        <v>390</v>
      </c>
      <c r="Q20" s="687"/>
      <c r="R20" s="687"/>
      <c r="S20" s="687"/>
      <c r="T20" s="688"/>
      <c r="U20" s="695"/>
      <c r="V20" s="696"/>
      <c r="W20" s="686" t="s">
        <v>390</v>
      </c>
      <c r="X20" s="687"/>
      <c r="Y20" s="687"/>
      <c r="Z20" s="687"/>
      <c r="AA20" s="688"/>
    </row>
    <row r="21" spans="1:27" ht="31.5">
      <c r="A21" s="44" t="s">
        <v>405</v>
      </c>
      <c r="B21" s="686" t="s">
        <v>390</v>
      </c>
      <c r="C21" s="687"/>
      <c r="D21" s="687"/>
      <c r="E21" s="687"/>
      <c r="F21" s="688"/>
      <c r="G21" s="695"/>
      <c r="H21" s="696"/>
      <c r="I21" s="686" t="s">
        <v>390</v>
      </c>
      <c r="J21" s="687"/>
      <c r="K21" s="687"/>
      <c r="L21" s="687"/>
      <c r="M21" s="688"/>
      <c r="N21" s="695"/>
      <c r="O21" s="696"/>
      <c r="P21" s="686" t="s">
        <v>390</v>
      </c>
      <c r="Q21" s="687"/>
      <c r="R21" s="687"/>
      <c r="S21" s="687"/>
      <c r="T21" s="688"/>
      <c r="U21" s="695"/>
      <c r="V21" s="696"/>
      <c r="W21" s="686" t="s">
        <v>390</v>
      </c>
      <c r="X21" s="687"/>
      <c r="Y21" s="687"/>
      <c r="Z21" s="687"/>
      <c r="AA21" s="688"/>
    </row>
    <row r="22" spans="1:27" ht="31.5">
      <c r="A22" s="44" t="s">
        <v>406</v>
      </c>
      <c r="B22" s="686" t="s">
        <v>390</v>
      </c>
      <c r="C22" s="687"/>
      <c r="D22" s="687"/>
      <c r="E22" s="687"/>
      <c r="F22" s="688"/>
      <c r="G22" s="695"/>
      <c r="H22" s="696"/>
      <c r="I22" s="686" t="s">
        <v>390</v>
      </c>
      <c r="J22" s="687"/>
      <c r="K22" s="687"/>
      <c r="L22" s="687"/>
      <c r="M22" s="688"/>
      <c r="N22" s="695"/>
      <c r="O22" s="696"/>
      <c r="P22" s="686" t="s">
        <v>390</v>
      </c>
      <c r="Q22" s="687"/>
      <c r="R22" s="687"/>
      <c r="S22" s="687"/>
      <c r="T22" s="688"/>
      <c r="U22" s="695"/>
      <c r="V22" s="696"/>
      <c r="W22" s="686" t="s">
        <v>390</v>
      </c>
      <c r="X22" s="687"/>
      <c r="Y22" s="687"/>
      <c r="Z22" s="687"/>
      <c r="AA22" s="688"/>
    </row>
    <row r="23" spans="1:27" ht="31.5">
      <c r="A23" s="44" t="s">
        <v>407</v>
      </c>
      <c r="B23" s="686" t="s">
        <v>390</v>
      </c>
      <c r="C23" s="687"/>
      <c r="D23" s="687"/>
      <c r="E23" s="687"/>
      <c r="F23" s="688"/>
      <c r="G23" s="695"/>
      <c r="H23" s="696"/>
      <c r="I23" s="686" t="s">
        <v>390</v>
      </c>
      <c r="J23" s="687"/>
      <c r="K23" s="687"/>
      <c r="L23" s="687"/>
      <c r="M23" s="688"/>
      <c r="N23" s="695"/>
      <c r="O23" s="696"/>
      <c r="P23" s="686" t="s">
        <v>390</v>
      </c>
      <c r="Q23" s="687"/>
      <c r="R23" s="687"/>
      <c r="S23" s="687"/>
      <c r="T23" s="688"/>
      <c r="U23" s="695"/>
      <c r="V23" s="696"/>
      <c r="W23" s="686" t="s">
        <v>390</v>
      </c>
      <c r="X23" s="687"/>
      <c r="Y23" s="687"/>
      <c r="Z23" s="687"/>
      <c r="AA23" s="688"/>
    </row>
    <row r="24" spans="1:27" ht="47.25">
      <c r="A24" s="44" t="s">
        <v>408</v>
      </c>
      <c r="B24" s="686" t="s">
        <v>390</v>
      </c>
      <c r="C24" s="687"/>
      <c r="D24" s="687"/>
      <c r="E24" s="687"/>
      <c r="F24" s="688"/>
      <c r="G24" s="695"/>
      <c r="H24" s="696"/>
      <c r="I24" s="686" t="s">
        <v>390</v>
      </c>
      <c r="J24" s="687"/>
      <c r="K24" s="687"/>
      <c r="L24" s="687"/>
      <c r="M24" s="688"/>
      <c r="N24" s="695"/>
      <c r="O24" s="696"/>
      <c r="P24" s="686" t="s">
        <v>390</v>
      </c>
      <c r="Q24" s="687"/>
      <c r="R24" s="687"/>
      <c r="S24" s="687"/>
      <c r="T24" s="688"/>
      <c r="U24" s="695"/>
      <c r="V24" s="696"/>
      <c r="W24" s="686" t="s">
        <v>390</v>
      </c>
      <c r="X24" s="687"/>
      <c r="Y24" s="687"/>
      <c r="Z24" s="687"/>
      <c r="AA24" s="688"/>
    </row>
    <row r="25" spans="1:27" ht="36" customHeight="1">
      <c r="A25" s="44" t="s">
        <v>409</v>
      </c>
      <c r="B25" s="686" t="s">
        <v>390</v>
      </c>
      <c r="C25" s="687"/>
      <c r="D25" s="687"/>
      <c r="E25" s="687"/>
      <c r="F25" s="688"/>
      <c r="G25" s="695"/>
      <c r="H25" s="696"/>
      <c r="I25" s="686" t="s">
        <v>390</v>
      </c>
      <c r="J25" s="687"/>
      <c r="K25" s="687"/>
      <c r="L25" s="687"/>
      <c r="M25" s="688"/>
      <c r="N25" s="695"/>
      <c r="O25" s="696"/>
      <c r="P25" s="686" t="s">
        <v>390</v>
      </c>
      <c r="Q25" s="687"/>
      <c r="R25" s="687"/>
      <c r="S25" s="687"/>
      <c r="T25" s="688"/>
      <c r="U25" s="695"/>
      <c r="V25" s="696"/>
      <c r="W25" s="686" t="s">
        <v>390</v>
      </c>
      <c r="X25" s="687"/>
      <c r="Y25" s="687"/>
      <c r="Z25" s="687"/>
      <c r="AA25" s="688"/>
    </row>
    <row r="26" spans="1:27" ht="31.5">
      <c r="A26" s="44" t="s">
        <v>410</v>
      </c>
      <c r="B26" s="686" t="s">
        <v>390</v>
      </c>
      <c r="C26" s="687"/>
      <c r="D26" s="687"/>
      <c r="E26" s="687"/>
      <c r="F26" s="688"/>
      <c r="G26" s="695"/>
      <c r="H26" s="696"/>
      <c r="I26" s="686" t="s">
        <v>390</v>
      </c>
      <c r="J26" s="687"/>
      <c r="K26" s="687"/>
      <c r="L26" s="687"/>
      <c r="M26" s="688"/>
      <c r="N26" s="695"/>
      <c r="O26" s="696"/>
      <c r="P26" s="686" t="s">
        <v>390</v>
      </c>
      <c r="Q26" s="687"/>
      <c r="R26" s="687"/>
      <c r="S26" s="687"/>
      <c r="T26" s="688"/>
      <c r="U26" s="695"/>
      <c r="V26" s="696"/>
      <c r="W26" s="686" t="s">
        <v>390</v>
      </c>
      <c r="X26" s="687"/>
      <c r="Y26" s="687"/>
      <c r="Z26" s="687"/>
      <c r="AA26" s="688"/>
    </row>
    <row r="27" spans="1:27" ht="37.5" customHeight="1">
      <c r="A27" s="44" t="s">
        <v>411</v>
      </c>
      <c r="B27" s="686" t="s">
        <v>390</v>
      </c>
      <c r="C27" s="687"/>
      <c r="D27" s="687"/>
      <c r="E27" s="687"/>
      <c r="F27" s="688"/>
      <c r="G27" s="695"/>
      <c r="H27" s="696"/>
      <c r="I27" s="686" t="s">
        <v>390</v>
      </c>
      <c r="J27" s="687"/>
      <c r="K27" s="687"/>
      <c r="L27" s="687"/>
      <c r="M27" s="688"/>
      <c r="N27" s="695"/>
      <c r="O27" s="696"/>
      <c r="P27" s="686" t="s">
        <v>390</v>
      </c>
      <c r="Q27" s="687"/>
      <c r="R27" s="687"/>
      <c r="S27" s="687"/>
      <c r="T27" s="688"/>
      <c r="U27" s="695"/>
      <c r="V27" s="696"/>
      <c r="W27" s="686" t="s">
        <v>390</v>
      </c>
      <c r="X27" s="687"/>
      <c r="Y27" s="687"/>
      <c r="Z27" s="687"/>
      <c r="AA27" s="688"/>
    </row>
    <row r="28" spans="1:27" ht="47.25">
      <c r="A28" s="44" t="s">
        <v>412</v>
      </c>
      <c r="B28" s="686" t="s">
        <v>390</v>
      </c>
      <c r="C28" s="687"/>
      <c r="D28" s="687"/>
      <c r="E28" s="687"/>
      <c r="F28" s="688"/>
      <c r="G28" s="695"/>
      <c r="H28" s="696"/>
      <c r="I28" s="686" t="s">
        <v>390</v>
      </c>
      <c r="J28" s="687"/>
      <c r="K28" s="687"/>
      <c r="L28" s="687"/>
      <c r="M28" s="688"/>
      <c r="N28" s="695"/>
      <c r="O28" s="696"/>
      <c r="P28" s="686" t="s">
        <v>390</v>
      </c>
      <c r="Q28" s="687"/>
      <c r="R28" s="687"/>
      <c r="S28" s="687"/>
      <c r="T28" s="688"/>
      <c r="U28" s="695"/>
      <c r="V28" s="696"/>
      <c r="W28" s="686" t="s">
        <v>390</v>
      </c>
      <c r="X28" s="687"/>
      <c r="Y28" s="687"/>
      <c r="Z28" s="687"/>
      <c r="AA28" s="688"/>
    </row>
    <row r="29" spans="1:27" ht="47.25">
      <c r="A29" s="44" t="s">
        <v>413</v>
      </c>
      <c r="B29" s="686" t="s">
        <v>390</v>
      </c>
      <c r="C29" s="687"/>
      <c r="D29" s="687"/>
      <c r="E29" s="687"/>
      <c r="F29" s="688"/>
      <c r="G29" s="695"/>
      <c r="H29" s="696"/>
      <c r="I29" s="686" t="s">
        <v>390</v>
      </c>
      <c r="J29" s="687"/>
      <c r="K29" s="687"/>
      <c r="L29" s="687"/>
      <c r="M29" s="688"/>
      <c r="N29" s="695"/>
      <c r="O29" s="696"/>
      <c r="P29" s="686" t="s">
        <v>390</v>
      </c>
      <c r="Q29" s="687"/>
      <c r="R29" s="687"/>
      <c r="S29" s="687"/>
      <c r="T29" s="688"/>
      <c r="U29" s="695"/>
      <c r="V29" s="696"/>
      <c r="W29" s="686" t="s">
        <v>390</v>
      </c>
      <c r="X29" s="687"/>
      <c r="Y29" s="687"/>
      <c r="Z29" s="687"/>
      <c r="AA29" s="688"/>
    </row>
    <row r="30" spans="1:27" ht="27" customHeight="1">
      <c r="A30" s="44" t="s">
        <v>414</v>
      </c>
      <c r="B30" s="686" t="s">
        <v>390</v>
      </c>
      <c r="C30" s="687"/>
      <c r="D30" s="687"/>
      <c r="E30" s="687"/>
      <c r="F30" s="688"/>
      <c r="G30" s="695"/>
      <c r="H30" s="696"/>
      <c r="I30" s="686" t="s">
        <v>390</v>
      </c>
      <c r="J30" s="687"/>
      <c r="K30" s="687"/>
      <c r="L30" s="687"/>
      <c r="M30" s="688"/>
      <c r="N30" s="695"/>
      <c r="O30" s="696"/>
      <c r="P30" s="686" t="s">
        <v>390</v>
      </c>
      <c r="Q30" s="687"/>
      <c r="R30" s="687"/>
      <c r="S30" s="687"/>
      <c r="T30" s="688"/>
      <c r="U30" s="695"/>
      <c r="V30" s="696"/>
      <c r="W30" s="686" t="s">
        <v>390</v>
      </c>
      <c r="X30" s="687"/>
      <c r="Y30" s="687"/>
      <c r="Z30" s="687"/>
      <c r="AA30" s="688"/>
    </row>
    <row r="31" spans="1:27" ht="27" customHeight="1">
      <c r="A31" s="44" t="s">
        <v>415</v>
      </c>
      <c r="B31" s="686" t="s">
        <v>390</v>
      </c>
      <c r="C31" s="687"/>
      <c r="D31" s="687"/>
      <c r="E31" s="687"/>
      <c r="F31" s="688"/>
      <c r="G31" s="695"/>
      <c r="H31" s="696"/>
      <c r="I31" s="686" t="s">
        <v>390</v>
      </c>
      <c r="J31" s="687"/>
      <c r="K31" s="687"/>
      <c r="L31" s="687"/>
      <c r="M31" s="688"/>
      <c r="N31" s="695"/>
      <c r="O31" s="696"/>
      <c r="P31" s="686" t="s">
        <v>390</v>
      </c>
      <c r="Q31" s="687"/>
      <c r="R31" s="687"/>
      <c r="S31" s="687"/>
      <c r="T31" s="688"/>
      <c r="U31" s="695"/>
      <c r="V31" s="696"/>
      <c r="W31" s="686" t="s">
        <v>390</v>
      </c>
      <c r="X31" s="687"/>
      <c r="Y31" s="687"/>
      <c r="Z31" s="687"/>
      <c r="AA31" s="688"/>
    </row>
    <row r="32" spans="1:27" ht="31.5">
      <c r="A32" s="44" t="s">
        <v>416</v>
      </c>
      <c r="B32" s="686" t="s">
        <v>390</v>
      </c>
      <c r="C32" s="687"/>
      <c r="D32" s="687"/>
      <c r="E32" s="687"/>
      <c r="F32" s="688"/>
      <c r="G32" s="695"/>
      <c r="H32" s="696"/>
      <c r="I32" s="686" t="s">
        <v>390</v>
      </c>
      <c r="J32" s="687"/>
      <c r="K32" s="687"/>
      <c r="L32" s="687"/>
      <c r="M32" s="688"/>
      <c r="N32" s="695"/>
      <c r="O32" s="696"/>
      <c r="P32" s="686" t="s">
        <v>390</v>
      </c>
      <c r="Q32" s="687"/>
      <c r="R32" s="687"/>
      <c r="S32" s="687"/>
      <c r="T32" s="688"/>
      <c r="U32" s="695"/>
      <c r="V32" s="696"/>
      <c r="W32" s="686" t="s">
        <v>390</v>
      </c>
      <c r="X32" s="687"/>
      <c r="Y32" s="687"/>
      <c r="Z32" s="687"/>
      <c r="AA32" s="688"/>
    </row>
    <row r="33" spans="1:27" ht="31.5">
      <c r="A33" s="44" t="s">
        <v>417</v>
      </c>
      <c r="B33" s="686" t="s">
        <v>390</v>
      </c>
      <c r="C33" s="687"/>
      <c r="D33" s="687"/>
      <c r="E33" s="687"/>
      <c r="F33" s="688"/>
      <c r="G33" s="695"/>
      <c r="H33" s="696"/>
      <c r="I33" s="686" t="s">
        <v>390</v>
      </c>
      <c r="J33" s="687"/>
      <c r="K33" s="687"/>
      <c r="L33" s="687"/>
      <c r="M33" s="688"/>
      <c r="N33" s="695"/>
      <c r="O33" s="696"/>
      <c r="P33" s="686" t="s">
        <v>390</v>
      </c>
      <c r="Q33" s="687"/>
      <c r="R33" s="687"/>
      <c r="S33" s="687"/>
      <c r="T33" s="688"/>
      <c r="U33" s="695"/>
      <c r="V33" s="696"/>
      <c r="W33" s="686" t="s">
        <v>390</v>
      </c>
      <c r="X33" s="687"/>
      <c r="Y33" s="687"/>
      <c r="Z33" s="687"/>
      <c r="AA33" s="688"/>
    </row>
    <row r="34" spans="1:27" ht="47.25">
      <c r="A34" s="46" t="s">
        <v>418</v>
      </c>
      <c r="B34" s="686" t="s">
        <v>390</v>
      </c>
      <c r="C34" s="687"/>
      <c r="D34" s="687"/>
      <c r="E34" s="687"/>
      <c r="F34" s="688"/>
      <c r="G34" s="695"/>
      <c r="H34" s="696"/>
      <c r="I34" s="686" t="s">
        <v>390</v>
      </c>
      <c r="J34" s="687"/>
      <c r="K34" s="687"/>
      <c r="L34" s="687"/>
      <c r="M34" s="688"/>
      <c r="N34" s="697"/>
      <c r="O34" s="698"/>
      <c r="P34" s="686" t="s">
        <v>390</v>
      </c>
      <c r="Q34" s="687"/>
      <c r="R34" s="687"/>
      <c r="S34" s="687"/>
      <c r="T34" s="688"/>
      <c r="U34" s="697"/>
      <c r="V34" s="698"/>
      <c r="W34" s="686" t="s">
        <v>390</v>
      </c>
      <c r="X34" s="687"/>
      <c r="Y34" s="687"/>
      <c r="Z34" s="687"/>
      <c r="AA34" s="688"/>
    </row>
    <row r="35" spans="1:27">
      <c r="A35" s="47" t="s">
        <v>419</v>
      </c>
      <c r="B35" s="47"/>
      <c r="C35" s="47"/>
      <c r="D35" s="47"/>
      <c r="E35" s="47"/>
      <c r="F35" s="47"/>
      <c r="G35" s="47"/>
      <c r="H35" s="47"/>
      <c r="I35" s="47"/>
      <c r="J35" s="47"/>
      <c r="K35" s="47"/>
      <c r="L35" s="47"/>
      <c r="M35" s="48"/>
      <c r="N35" s="35"/>
      <c r="O35" s="35"/>
      <c r="P35" s="35"/>
      <c r="Q35" s="35"/>
      <c r="R35" s="35"/>
      <c r="S35" s="35"/>
      <c r="T35" s="35"/>
      <c r="U35" s="35"/>
    </row>
    <row r="36" spans="1:27">
      <c r="N36" s="49"/>
      <c r="O36" s="49"/>
      <c r="P36" s="49"/>
      <c r="Q36" s="49"/>
      <c r="R36" s="49"/>
      <c r="S36" s="49"/>
      <c r="T36" s="49"/>
      <c r="U36" s="49"/>
    </row>
    <row r="37" spans="1:27">
      <c r="N37" s="42"/>
      <c r="O37" s="42"/>
      <c r="P37" s="42"/>
      <c r="Q37" s="42"/>
      <c r="R37" s="42"/>
      <c r="S37" s="42"/>
      <c r="T37" s="42"/>
      <c r="U37" s="50"/>
    </row>
    <row r="38" spans="1:27">
      <c r="N38" s="42"/>
      <c r="O38" s="42"/>
      <c r="P38" s="42"/>
      <c r="Q38" s="42"/>
      <c r="R38" s="42"/>
      <c r="S38" s="42"/>
      <c r="T38" s="42"/>
      <c r="U38" s="50"/>
    </row>
    <row r="39" spans="1:27">
      <c r="N39" s="42"/>
      <c r="O39" s="42"/>
      <c r="P39" s="42"/>
      <c r="Q39" s="42"/>
      <c r="R39" s="42"/>
      <c r="S39" s="42"/>
      <c r="T39" s="42"/>
      <c r="U39" s="50"/>
    </row>
    <row r="40" spans="1:27">
      <c r="N40" s="42"/>
      <c r="O40" s="42"/>
      <c r="P40" s="42"/>
      <c r="Q40" s="42"/>
      <c r="R40" s="42"/>
      <c r="S40" s="42"/>
      <c r="T40" s="42"/>
      <c r="U40" s="50"/>
    </row>
    <row r="41" spans="1:27">
      <c r="N41" s="42"/>
      <c r="O41" s="42"/>
      <c r="P41" s="42"/>
      <c r="Q41" s="42"/>
      <c r="R41" s="42"/>
      <c r="S41" s="42"/>
      <c r="T41" s="42"/>
      <c r="U41" s="50"/>
    </row>
    <row r="42" spans="1:27">
      <c r="N42" s="42"/>
      <c r="O42" s="42"/>
      <c r="P42" s="42"/>
      <c r="Q42" s="42"/>
      <c r="R42" s="42"/>
      <c r="S42" s="42"/>
      <c r="T42" s="42"/>
      <c r="U42" s="50"/>
    </row>
    <row r="43" spans="1:27">
      <c r="N43" s="42"/>
      <c r="O43" s="42"/>
      <c r="P43" s="42"/>
      <c r="Q43" s="42"/>
      <c r="R43" s="42"/>
      <c r="S43" s="42"/>
      <c r="T43" s="42"/>
      <c r="U43" s="50"/>
    </row>
    <row r="44" spans="1:27">
      <c r="N44" s="42"/>
      <c r="O44" s="42"/>
      <c r="P44" s="42"/>
      <c r="Q44" s="42"/>
      <c r="R44" s="42"/>
      <c r="S44" s="42"/>
      <c r="T44" s="42"/>
      <c r="U44" s="50"/>
    </row>
    <row r="45" spans="1:27">
      <c r="N45" s="42"/>
      <c r="O45" s="42"/>
      <c r="P45" s="42"/>
      <c r="Q45" s="42"/>
      <c r="R45" s="42"/>
      <c r="S45" s="42"/>
      <c r="T45" s="42"/>
      <c r="U45" s="50"/>
    </row>
    <row r="46" spans="1:27">
      <c r="N46" s="42"/>
      <c r="O46" s="42"/>
      <c r="P46" s="42"/>
      <c r="Q46" s="42"/>
      <c r="R46" s="42"/>
      <c r="S46" s="42"/>
      <c r="T46" s="42"/>
      <c r="U46" s="50"/>
    </row>
    <row r="47" spans="1:27">
      <c r="N47" s="42"/>
      <c r="O47" s="42"/>
      <c r="P47" s="42"/>
      <c r="Q47" s="42"/>
      <c r="R47" s="42"/>
      <c r="S47" s="42"/>
      <c r="T47" s="42"/>
      <c r="U47" s="50"/>
    </row>
    <row r="48" spans="1:27">
      <c r="N48" s="42"/>
      <c r="O48" s="42"/>
      <c r="P48" s="42"/>
      <c r="Q48" s="42"/>
      <c r="R48" s="42"/>
      <c r="S48" s="42"/>
      <c r="T48" s="42"/>
      <c r="U48" s="50"/>
    </row>
    <row r="49" spans="14:21">
      <c r="N49" s="42"/>
      <c r="O49" s="42"/>
      <c r="P49" s="42"/>
      <c r="Q49" s="42"/>
      <c r="R49" s="42"/>
      <c r="S49" s="42"/>
      <c r="T49" s="42"/>
      <c r="U49" s="50"/>
    </row>
    <row r="50" spans="14:21">
      <c r="N50" s="42"/>
      <c r="O50" s="42"/>
      <c r="P50" s="42"/>
      <c r="Q50" s="42"/>
      <c r="R50" s="42"/>
      <c r="S50" s="42"/>
      <c r="T50" s="42"/>
      <c r="U50" s="50"/>
    </row>
    <row r="51" spans="14:21">
      <c r="N51" s="42"/>
      <c r="O51" s="42"/>
      <c r="P51" s="42"/>
      <c r="Q51" s="42"/>
      <c r="R51" s="42"/>
      <c r="S51" s="42"/>
      <c r="T51" s="42"/>
      <c r="U51" s="50"/>
    </row>
    <row r="52" spans="14:21">
      <c r="N52" s="42"/>
      <c r="O52" s="42"/>
      <c r="P52" s="42"/>
      <c r="Q52" s="42"/>
      <c r="R52" s="42"/>
      <c r="S52" s="42"/>
      <c r="T52" s="42"/>
      <c r="U52" s="50"/>
    </row>
    <row r="53" spans="14:21">
      <c r="N53" s="42"/>
      <c r="O53" s="42"/>
      <c r="P53" s="42"/>
      <c r="Q53" s="42"/>
      <c r="R53" s="42"/>
      <c r="S53" s="42"/>
      <c r="T53" s="42"/>
      <c r="U53" s="50"/>
    </row>
    <row r="54" spans="14:21">
      <c r="N54" s="42"/>
      <c r="O54" s="42"/>
      <c r="P54" s="42"/>
      <c r="Q54" s="42"/>
      <c r="R54" s="42"/>
      <c r="S54" s="42"/>
      <c r="T54" s="42"/>
      <c r="U54" s="50"/>
    </row>
    <row r="55" spans="14:21">
      <c r="N55" s="42"/>
      <c r="O55" s="42"/>
      <c r="P55" s="42"/>
      <c r="Q55" s="42"/>
      <c r="R55" s="42"/>
      <c r="S55" s="42"/>
      <c r="T55" s="42"/>
      <c r="U55" s="50"/>
    </row>
    <row r="56" spans="14:21">
      <c r="N56" s="42"/>
      <c r="O56" s="42"/>
      <c r="P56" s="42"/>
      <c r="Q56" s="42"/>
      <c r="R56" s="42"/>
      <c r="S56" s="42"/>
      <c r="T56" s="42"/>
      <c r="U56" s="50"/>
    </row>
    <row r="57" spans="14:21">
      <c r="N57" s="42"/>
      <c r="O57" s="42"/>
      <c r="P57" s="42"/>
      <c r="Q57" s="42"/>
      <c r="R57" s="42"/>
      <c r="S57" s="42"/>
      <c r="T57" s="42"/>
      <c r="U57" s="50"/>
    </row>
    <row r="58" spans="14:21">
      <c r="N58" s="42"/>
      <c r="O58" s="42"/>
      <c r="P58" s="42"/>
      <c r="Q58" s="42"/>
      <c r="R58" s="42"/>
      <c r="S58" s="42"/>
      <c r="T58" s="42"/>
      <c r="U58" s="50"/>
    </row>
    <row r="59" spans="14:21">
      <c r="N59" s="42"/>
      <c r="O59" s="42"/>
      <c r="P59" s="42"/>
      <c r="Q59" s="42"/>
      <c r="R59" s="42"/>
      <c r="S59" s="42"/>
      <c r="T59" s="42"/>
      <c r="U59" s="50"/>
    </row>
    <row r="60" spans="14:21">
      <c r="N60" s="42"/>
      <c r="O60" s="42"/>
      <c r="P60" s="42"/>
      <c r="Q60" s="42"/>
      <c r="R60" s="42"/>
      <c r="S60" s="42"/>
      <c r="T60" s="42"/>
      <c r="U60" s="50"/>
    </row>
    <row r="61" spans="14:21">
      <c r="N61" s="42"/>
      <c r="O61" s="42"/>
      <c r="P61" s="42"/>
      <c r="Q61" s="42"/>
      <c r="R61" s="42"/>
      <c r="S61" s="42"/>
      <c r="T61" s="42"/>
      <c r="U61" s="50"/>
    </row>
    <row r="62" spans="14:21">
      <c r="N62" s="42"/>
      <c r="O62" s="42"/>
      <c r="P62" s="42"/>
      <c r="Q62" s="42"/>
      <c r="R62" s="42"/>
      <c r="S62" s="42"/>
      <c r="T62" s="42"/>
      <c r="U62" s="50"/>
    </row>
    <row r="63" spans="14:21">
      <c r="N63" s="42"/>
      <c r="O63" s="42"/>
      <c r="P63" s="42"/>
      <c r="Q63" s="42"/>
      <c r="R63" s="42"/>
      <c r="S63" s="42"/>
      <c r="T63" s="42"/>
      <c r="U63" s="50"/>
    </row>
    <row r="64" spans="14:21">
      <c r="N64" s="42"/>
      <c r="O64" s="42"/>
      <c r="P64" s="42"/>
      <c r="Q64" s="42"/>
      <c r="R64" s="42"/>
      <c r="S64" s="42"/>
      <c r="T64" s="42"/>
      <c r="U64" s="50"/>
    </row>
    <row r="65" spans="14:21">
      <c r="N65" s="42"/>
      <c r="O65" s="42"/>
      <c r="P65" s="42"/>
      <c r="Q65" s="42"/>
      <c r="R65" s="42"/>
      <c r="S65" s="42"/>
      <c r="T65" s="42"/>
      <c r="U65" s="50"/>
    </row>
    <row r="66" spans="14:21">
      <c r="N66" s="42"/>
      <c r="O66" s="42"/>
      <c r="P66" s="42"/>
      <c r="Q66" s="42"/>
      <c r="R66" s="42"/>
      <c r="S66" s="42"/>
      <c r="T66" s="42"/>
      <c r="U66" s="50"/>
    </row>
    <row r="67" spans="14:21">
      <c r="N67" s="42"/>
      <c r="O67" s="42"/>
      <c r="P67" s="42"/>
      <c r="Q67" s="42"/>
      <c r="R67" s="42"/>
      <c r="S67" s="42"/>
      <c r="T67" s="42"/>
      <c r="U67" s="50"/>
    </row>
    <row r="68" spans="14:21">
      <c r="N68" s="42"/>
      <c r="O68" s="42"/>
      <c r="P68" s="42"/>
      <c r="Q68" s="42"/>
      <c r="R68" s="42"/>
      <c r="S68" s="42"/>
      <c r="T68" s="42"/>
      <c r="U68" s="50"/>
    </row>
    <row r="69" spans="14:21">
      <c r="N69" s="42"/>
      <c r="O69" s="42"/>
      <c r="P69" s="42"/>
      <c r="Q69" s="42"/>
      <c r="R69" s="42"/>
      <c r="S69" s="42"/>
      <c r="T69" s="42"/>
      <c r="U69" s="50"/>
    </row>
    <row r="70" spans="14:21">
      <c r="N70" s="42"/>
      <c r="O70" s="42"/>
      <c r="P70" s="42"/>
      <c r="Q70" s="42"/>
      <c r="R70" s="42"/>
      <c r="S70" s="42"/>
      <c r="T70" s="42"/>
      <c r="U70" s="50"/>
    </row>
    <row r="71" spans="14:21">
      <c r="N71" s="42"/>
      <c r="O71" s="42"/>
      <c r="P71" s="42"/>
      <c r="Q71" s="42"/>
      <c r="R71" s="42"/>
      <c r="S71" s="42"/>
      <c r="T71" s="42"/>
      <c r="U71" s="50"/>
    </row>
    <row r="72" spans="14:21">
      <c r="N72" s="42"/>
      <c r="O72" s="42"/>
      <c r="P72" s="42"/>
      <c r="Q72" s="42"/>
      <c r="R72" s="42"/>
      <c r="S72" s="42"/>
      <c r="T72" s="42"/>
      <c r="U72" s="50"/>
    </row>
    <row r="73" spans="14:21">
      <c r="N73" s="42"/>
      <c r="O73" s="42"/>
      <c r="P73" s="42"/>
      <c r="Q73" s="42"/>
      <c r="R73" s="42"/>
      <c r="S73" s="42"/>
      <c r="T73" s="42"/>
      <c r="U73" s="50"/>
    </row>
    <row r="74" spans="14:21">
      <c r="N74" s="42"/>
      <c r="O74" s="42"/>
      <c r="P74" s="42"/>
      <c r="Q74" s="42"/>
      <c r="R74" s="42"/>
      <c r="S74" s="42"/>
      <c r="T74" s="42"/>
      <c r="U74" s="50"/>
    </row>
    <row r="75" spans="14:21">
      <c r="N75" s="42"/>
      <c r="O75" s="42"/>
      <c r="P75" s="42"/>
      <c r="Q75" s="42"/>
      <c r="R75" s="42"/>
      <c r="S75" s="42"/>
      <c r="T75" s="42"/>
      <c r="U75" s="50"/>
    </row>
    <row r="76" spans="14:21">
      <c r="N76" s="42"/>
      <c r="O76" s="42"/>
      <c r="P76" s="42"/>
      <c r="Q76" s="42"/>
      <c r="R76" s="42"/>
      <c r="S76" s="42"/>
      <c r="T76" s="42"/>
      <c r="U76" s="50"/>
    </row>
    <row r="77" spans="14:21">
      <c r="N77" s="42"/>
      <c r="O77" s="42"/>
      <c r="P77" s="42"/>
      <c r="Q77" s="42"/>
      <c r="R77" s="42"/>
      <c r="S77" s="42"/>
      <c r="T77" s="42"/>
      <c r="U77" s="50"/>
    </row>
    <row r="78" spans="14:21">
      <c r="N78" s="42"/>
      <c r="O78" s="42"/>
      <c r="P78" s="42"/>
      <c r="Q78" s="42"/>
      <c r="R78" s="42"/>
      <c r="S78" s="42"/>
      <c r="T78" s="42"/>
      <c r="U78" s="50"/>
    </row>
    <row r="79" spans="14:21">
      <c r="N79" s="42"/>
      <c r="O79" s="42"/>
      <c r="P79" s="42"/>
      <c r="Q79" s="42"/>
      <c r="R79" s="42"/>
      <c r="S79" s="42"/>
      <c r="T79" s="42"/>
      <c r="U79" s="50"/>
    </row>
    <row r="80" spans="14:21">
      <c r="N80" s="42"/>
      <c r="O80" s="42"/>
      <c r="P80" s="42"/>
      <c r="Q80" s="42"/>
      <c r="R80" s="42"/>
      <c r="S80" s="42"/>
      <c r="T80" s="42"/>
      <c r="U80" s="50"/>
    </row>
    <row r="81" spans="14:21">
      <c r="N81" s="42"/>
      <c r="O81" s="42"/>
      <c r="P81" s="42"/>
      <c r="Q81" s="42"/>
      <c r="R81" s="42"/>
      <c r="S81" s="42"/>
      <c r="T81" s="42"/>
      <c r="U81" s="50"/>
    </row>
    <row r="82" spans="14:21">
      <c r="N82" s="42"/>
      <c r="O82" s="42"/>
      <c r="P82" s="42"/>
      <c r="Q82" s="42"/>
      <c r="R82" s="42"/>
      <c r="S82" s="42"/>
      <c r="T82" s="42"/>
      <c r="U82" s="50"/>
    </row>
    <row r="83" spans="14:21">
      <c r="N83" s="42"/>
      <c r="O83" s="42"/>
      <c r="P83" s="42"/>
      <c r="Q83" s="42"/>
      <c r="R83" s="42"/>
      <c r="S83" s="42"/>
      <c r="T83" s="42"/>
      <c r="U83" s="50"/>
    </row>
    <row r="84" spans="14:21">
      <c r="N84" s="42"/>
      <c r="O84" s="42"/>
      <c r="P84" s="42"/>
      <c r="Q84" s="42"/>
      <c r="R84" s="42"/>
      <c r="S84" s="42"/>
      <c r="T84" s="42"/>
      <c r="U84" s="50"/>
    </row>
    <row r="85" spans="14:21">
      <c r="N85" s="48"/>
      <c r="O85" s="48"/>
      <c r="P85" s="48"/>
      <c r="Q85" s="48"/>
      <c r="R85" s="48"/>
      <c r="S85" s="48"/>
      <c r="T85" s="48"/>
      <c r="U85" s="48"/>
    </row>
  </sheetData>
  <sheetProtection selectLockedCells="1"/>
  <mergeCells count="137">
    <mergeCell ref="B32:F32"/>
    <mergeCell ref="I32:M32"/>
    <mergeCell ref="P32:T32"/>
    <mergeCell ref="W32:AA32"/>
    <mergeCell ref="B33:F33"/>
    <mergeCell ref="I33:M33"/>
    <mergeCell ref="P33:T33"/>
    <mergeCell ref="W33:AA33"/>
    <mergeCell ref="B34:F34"/>
    <mergeCell ref="I34:M34"/>
    <mergeCell ref="P34:T34"/>
    <mergeCell ref="W34:AA34"/>
    <mergeCell ref="G6:H34"/>
    <mergeCell ref="U6:V34"/>
    <mergeCell ref="N6:O34"/>
    <mergeCell ref="B29:F29"/>
    <mergeCell ref="I29:M29"/>
    <mergeCell ref="P29:T29"/>
    <mergeCell ref="W29:AA29"/>
    <mergeCell ref="B30:F30"/>
    <mergeCell ref="I30:M30"/>
    <mergeCell ref="P30:T30"/>
    <mergeCell ref="W30:AA30"/>
    <mergeCell ref="B31:F31"/>
    <mergeCell ref="I31:M31"/>
    <mergeCell ref="P31:T31"/>
    <mergeCell ref="W31:AA31"/>
    <mergeCell ref="B26:F26"/>
    <mergeCell ref="I26:M26"/>
    <mergeCell ref="P26:T26"/>
    <mergeCell ref="W26:AA26"/>
    <mergeCell ref="B27:F27"/>
    <mergeCell ref="I27:M27"/>
    <mergeCell ref="P27:T27"/>
    <mergeCell ref="W27:AA27"/>
    <mergeCell ref="B28:F28"/>
    <mergeCell ref="I28:M28"/>
    <mergeCell ref="P28:T28"/>
    <mergeCell ref="W28:AA28"/>
    <mergeCell ref="B23:F23"/>
    <mergeCell ref="I23:M23"/>
    <mergeCell ref="P23:T23"/>
    <mergeCell ref="W23:AA23"/>
    <mergeCell ref="B24:F24"/>
    <mergeCell ref="I24:M24"/>
    <mergeCell ref="P24:T24"/>
    <mergeCell ref="W24:AA24"/>
    <mergeCell ref="B25:F25"/>
    <mergeCell ref="I25:M25"/>
    <mergeCell ref="P25:T25"/>
    <mergeCell ref="W25:AA25"/>
    <mergeCell ref="B20:F20"/>
    <mergeCell ref="I20:M20"/>
    <mergeCell ref="P20:T20"/>
    <mergeCell ref="W20:AA20"/>
    <mergeCell ref="B21:F21"/>
    <mergeCell ref="I21:M21"/>
    <mergeCell ref="P21:T21"/>
    <mergeCell ref="W21:AA21"/>
    <mergeCell ref="B22:F22"/>
    <mergeCell ref="I22:M22"/>
    <mergeCell ref="P22:T22"/>
    <mergeCell ref="W22:AA22"/>
    <mergeCell ref="B17:F17"/>
    <mergeCell ref="I17:M17"/>
    <mergeCell ref="P17:T17"/>
    <mergeCell ref="W17:AA17"/>
    <mergeCell ref="B18:F18"/>
    <mergeCell ref="I18:M18"/>
    <mergeCell ref="P18:T18"/>
    <mergeCell ref="W18:AA18"/>
    <mergeCell ref="B19:F19"/>
    <mergeCell ref="I19:M19"/>
    <mergeCell ref="P19:T19"/>
    <mergeCell ref="W19:AA19"/>
    <mergeCell ref="B14:F14"/>
    <mergeCell ref="I14:M14"/>
    <mergeCell ref="P14:T14"/>
    <mergeCell ref="W14:AA14"/>
    <mergeCell ref="B15:F15"/>
    <mergeCell ref="I15:M15"/>
    <mergeCell ref="P15:T15"/>
    <mergeCell ref="W15:AA15"/>
    <mergeCell ref="B16:F16"/>
    <mergeCell ref="I16:M16"/>
    <mergeCell ref="P16:T16"/>
    <mergeCell ref="W16:AA16"/>
    <mergeCell ref="B11:F11"/>
    <mergeCell ref="I11:M11"/>
    <mergeCell ref="P11:T11"/>
    <mergeCell ref="W11:AA11"/>
    <mergeCell ref="B12:F12"/>
    <mergeCell ref="I12:M12"/>
    <mergeCell ref="P12:T12"/>
    <mergeCell ref="W12:AA12"/>
    <mergeCell ref="B13:F13"/>
    <mergeCell ref="I13:M13"/>
    <mergeCell ref="P13:T13"/>
    <mergeCell ref="W13:AA13"/>
    <mergeCell ref="B8:F8"/>
    <mergeCell ref="I8:M8"/>
    <mergeCell ref="P8:T8"/>
    <mergeCell ref="W8:AA8"/>
    <mergeCell ref="B9:F9"/>
    <mergeCell ref="I9:M9"/>
    <mergeCell ref="P9:T9"/>
    <mergeCell ref="W9:AA9"/>
    <mergeCell ref="B10:F10"/>
    <mergeCell ref="I10:M10"/>
    <mergeCell ref="P10:T10"/>
    <mergeCell ref="W10:AA10"/>
    <mergeCell ref="B6:F6"/>
    <mergeCell ref="I6:M6"/>
    <mergeCell ref="P6:T6"/>
    <mergeCell ref="W6:AA6"/>
    <mergeCell ref="B7:F7"/>
    <mergeCell ref="I7:M7"/>
    <mergeCell ref="P7:T7"/>
    <mergeCell ref="W7:AA7"/>
    <mergeCell ref="G3:H5"/>
    <mergeCell ref="U3:V5"/>
    <mergeCell ref="N3:O5"/>
    <mergeCell ref="A1:AA1"/>
    <mergeCell ref="A2:AA2"/>
    <mergeCell ref="B3:F3"/>
    <mergeCell ref="I3:M3"/>
    <mergeCell ref="P3:T3"/>
    <mergeCell ref="W3:AA3"/>
    <mergeCell ref="B4:F4"/>
    <mergeCell ref="I4:M4"/>
    <mergeCell ref="P4:T4"/>
    <mergeCell ref="W4:AA4"/>
    <mergeCell ref="A3:A5"/>
    <mergeCell ref="B5:F5"/>
    <mergeCell ref="I5:M5"/>
    <mergeCell ref="P5:T5"/>
    <mergeCell ref="W5:AA5"/>
  </mergeCells>
  <dataValidations count="1">
    <dataValidation type="list" sqref="B13:F13 I13:M13 P13:T13 W13:AA13 B14:F14 I14:M14 P14:T14 W14:AA14 B15:E15 I15:L15 P15:S15 W15:Z15 D25 K25 R25 Y25 B28:F28 I28:M28 P28:T28 W28:AA28 B29 F29 I29 M29 P29 T29 W29 AA29 B34:D34 F34 I34:K34 M34 P34:R34 T34 W34:Y34 AA34 B22:B27 I22:I27 P22:P27 W22:W27 B30:F33 W16:AA21 P16:T21 W6:AA12 P30:T33 I6:M12 I16:M21 P6:T12 I30:M33 B6:F12 B16:F21 W30:AA33" xr:uid="{00000000-0002-0000-0300-000000000000}">
      <formula1>"□,☑,N/A"</formula1>
    </dataValidation>
  </dataValidations>
  <pageMargins left="0.62992125984252001" right="0.27559055118110198" top="1.02362204724409" bottom="0.74803149606299202" header="0.31496062992126" footer="0.31496062992126"/>
  <pageSetup paperSize="9" scale="58" fitToHeight="0" pageOrder="overThenDown" orientation="portrait"/>
  <headerFooter>
    <oddHeader>&amp;L&amp;G</oddHeader>
    <oddFooter>&amp;CPage &amp;P</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TM15"/>
  <sheetViews>
    <sheetView showGridLines="0" zoomScale="85" zoomScaleNormal="85" workbookViewId="0">
      <selection activeCell="A6" sqref="A6:C6"/>
    </sheetView>
  </sheetViews>
  <sheetFormatPr defaultColWidth="11" defaultRowHeight="15"/>
  <cols>
    <col min="1" max="1" width="32.875" style="3" customWidth="1"/>
    <col min="2" max="2" width="15.125" style="3" customWidth="1"/>
    <col min="3" max="3" width="19" style="3" customWidth="1"/>
    <col min="4" max="4" width="22.125" style="3" customWidth="1"/>
    <col min="5" max="5" width="13.5" style="3" customWidth="1"/>
    <col min="6" max="6" width="11.625" style="3" customWidth="1"/>
    <col min="7" max="7" width="11.125" style="3" customWidth="1"/>
    <col min="8" max="16384" width="11" style="3"/>
  </cols>
  <sheetData>
    <row r="1" spans="1:8 1209:1209" ht="33.75" customHeight="1">
      <c r="A1" s="631" t="s">
        <v>17</v>
      </c>
      <c r="B1" s="631"/>
      <c r="C1" s="631"/>
      <c r="D1" s="631"/>
      <c r="E1" s="631"/>
      <c r="F1" s="631"/>
      <c r="G1" s="631"/>
      <c r="H1" s="27" t="s">
        <v>48</v>
      </c>
      <c r="ATM1" s="38"/>
    </row>
    <row r="2" spans="1:8 1209:1209" ht="19.5" customHeight="1">
      <c r="A2" s="17" t="s">
        <v>310</v>
      </c>
      <c r="B2" s="632" t="str">
        <f>IF(ORGN=0," ",ORGN)</f>
        <v/>
      </c>
      <c r="C2" s="632"/>
      <c r="D2" s="632"/>
      <c r="E2" s="632"/>
      <c r="F2" s="632"/>
      <c r="G2" s="632"/>
    </row>
    <row r="3" spans="1:8 1209:1209" ht="15.75" customHeight="1">
      <c r="A3" s="17" t="s">
        <v>319</v>
      </c>
      <c r="B3" s="699" t="str">
        <f>IF(STANDARD=0," ",STANDARD)</f>
        <v/>
      </c>
      <c r="C3" s="700"/>
      <c r="D3" s="700"/>
      <c r="E3" s="700"/>
      <c r="F3" s="700"/>
      <c r="G3" s="701"/>
    </row>
    <row r="4" spans="1:8 1209:1209" ht="157.5" customHeight="1">
      <c r="A4" s="702" t="s">
        <v>420</v>
      </c>
      <c r="B4" s="702"/>
      <c r="C4" s="702"/>
      <c r="D4" s="702"/>
      <c r="E4" s="702"/>
      <c r="F4" s="702"/>
      <c r="G4" s="703"/>
    </row>
    <row r="5" spans="1:8 1209:1209" ht="15.75" customHeight="1">
      <c r="A5" s="672" t="s">
        <v>421</v>
      </c>
      <c r="B5" s="672"/>
      <c r="C5" s="672"/>
      <c r="D5" s="672"/>
      <c r="E5" s="672"/>
      <c r="F5" s="672"/>
      <c r="G5" s="673"/>
    </row>
    <row r="6" spans="1:8 1209:1209" ht="15.75" customHeight="1">
      <c r="A6" s="196" t="s">
        <v>346</v>
      </c>
      <c r="B6" s="704" t="s">
        <v>422</v>
      </c>
      <c r="C6" s="705"/>
      <c r="D6" s="705" t="s">
        <v>381</v>
      </c>
      <c r="E6" s="705"/>
      <c r="F6" s="705" t="s">
        <v>423</v>
      </c>
      <c r="G6" s="705"/>
    </row>
    <row r="7" spans="1:8 1209:1209" ht="40.5" customHeight="1">
      <c r="A7" s="40"/>
      <c r="B7" s="706" t="s">
        <v>355</v>
      </c>
      <c r="C7" s="217"/>
      <c r="D7" s="707" t="str">
        <f>IF(APPRD=0," ",APPRD)</f>
        <v/>
      </c>
      <c r="E7" s="707"/>
      <c r="F7" s="708"/>
      <c r="G7" s="709"/>
    </row>
    <row r="8" spans="1:8 1209:1209" ht="30" customHeight="1">
      <c r="A8" s="40"/>
      <c r="B8" s="710" t="str">
        <f>IF(ROLE2=0," ",ROLE2)</f>
        <v/>
      </c>
      <c r="C8" s="711"/>
      <c r="D8" s="707" t="str">
        <f>IF(APPRD=0," ",APPRD)</f>
        <v/>
      </c>
      <c r="E8" s="707"/>
      <c r="F8" s="712"/>
      <c r="G8" s="712"/>
    </row>
    <row r="9" spans="1:8 1209:1209" ht="29.25" customHeight="1">
      <c r="A9" s="40"/>
      <c r="B9" s="710" t="str">
        <f>IF(ROLE3=0," ",ROLE3)</f>
        <v/>
      </c>
      <c r="C9" s="711"/>
      <c r="D9" s="707" t="str">
        <f>IF(APPRD=0," ",APPRD)</f>
        <v/>
      </c>
      <c r="E9" s="707"/>
      <c r="F9" s="712"/>
      <c r="G9" s="712"/>
    </row>
    <row r="10" spans="1:8 1209:1209" ht="30" customHeight="1">
      <c r="A10" s="40"/>
      <c r="B10" s="714" t="s">
        <v>363</v>
      </c>
      <c r="C10" s="715"/>
      <c r="D10" s="707" t="str">
        <f>IF(APPRD=0," ",APPRD)</f>
        <v/>
      </c>
      <c r="E10" s="707"/>
      <c r="F10" s="713"/>
      <c r="G10" s="713"/>
    </row>
    <row r="11" spans="1:8 1209:1209" ht="24.75" customHeight="1">
      <c r="A11" s="40"/>
      <c r="B11" s="714" t="s">
        <v>366</v>
      </c>
      <c r="C11" s="715"/>
      <c r="D11" s="707" t="str">
        <f>IF(APPRD=0," ",APPRD)</f>
        <v/>
      </c>
      <c r="E11" s="707"/>
      <c r="F11" s="713"/>
      <c r="G11" s="713"/>
    </row>
    <row r="12" spans="1:8 1209:1209" ht="15.75" customHeight="1">
      <c r="A12" s="40"/>
      <c r="B12" s="710"/>
      <c r="C12" s="711"/>
      <c r="D12" s="707"/>
      <c r="E12" s="707"/>
      <c r="F12" s="713"/>
      <c r="G12" s="713"/>
    </row>
    <row r="13" spans="1:8 1209:1209">
      <c r="A13" s="26" t="s">
        <v>424</v>
      </c>
      <c r="D13" s="26"/>
      <c r="E13" s="26"/>
      <c r="F13" s="26"/>
      <c r="G13" s="26"/>
    </row>
    <row r="15" spans="1:8 1209:1209">
      <c r="D15" s="41"/>
    </row>
  </sheetData>
  <sheetProtection selectLockedCells="1"/>
  <mergeCells count="26">
    <mergeCell ref="B12:C12"/>
    <mergeCell ref="D12:E12"/>
    <mergeCell ref="F12:G12"/>
    <mergeCell ref="B10:C10"/>
    <mergeCell ref="D10:E10"/>
    <mergeCell ref="F10:G10"/>
    <mergeCell ref="B11:C11"/>
    <mergeCell ref="D11:E11"/>
    <mergeCell ref="F11:G11"/>
    <mergeCell ref="B8:C8"/>
    <mergeCell ref="D8:E8"/>
    <mergeCell ref="F8:G8"/>
    <mergeCell ref="B9:C9"/>
    <mergeCell ref="D9:E9"/>
    <mergeCell ref="F9:G9"/>
    <mergeCell ref="B6:C6"/>
    <mergeCell ref="D6:E6"/>
    <mergeCell ref="F6:G6"/>
    <mergeCell ref="B7:C7"/>
    <mergeCell ref="D7:E7"/>
    <mergeCell ref="F7:G7"/>
    <mergeCell ref="A1:G1"/>
    <mergeCell ref="B2:G2"/>
    <mergeCell ref="B3:G3"/>
    <mergeCell ref="A4:G4"/>
    <mergeCell ref="A5:G5"/>
  </mergeCells>
  <hyperlinks>
    <hyperlink ref="H1" location="'Index '!A1" display="Index" xr:uid="{00000000-0004-0000-0400-000000000000}"/>
  </hyperlinks>
  <pageMargins left="0.62992125984252001" right="0.27559055118110198" top="1.02362204724409" bottom="0.74803149606299202" header="0.31496062992126" footer="0.31496062992126"/>
  <pageSetup paperSize="9" scale="78" fitToHeight="0" orientation="portrait"/>
  <headerFooter>
    <oddHeader>&amp;L&amp;G</oddHeader>
    <oddFooter>&amp;CPage &amp;P</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pageSetUpPr fitToPage="1"/>
  </sheetPr>
  <dimension ref="A1:P94"/>
  <sheetViews>
    <sheetView showGridLines="0" topLeftCell="A16" workbookViewId="0">
      <selection activeCell="C33" sqref="C33:F34"/>
    </sheetView>
  </sheetViews>
  <sheetFormatPr defaultColWidth="11" defaultRowHeight="15"/>
  <cols>
    <col min="1" max="1" width="4.75" style="3" customWidth="1"/>
    <col min="2" max="2" width="13.625" style="3" customWidth="1"/>
    <col min="3" max="3" width="7.875" style="3" customWidth="1"/>
    <col min="4" max="4" width="4.625" style="3" customWidth="1"/>
    <col min="5" max="5" width="7" style="3" customWidth="1"/>
    <col min="6" max="6" width="8.125" style="3" customWidth="1"/>
    <col min="7" max="7" width="2.875" style="3" customWidth="1"/>
    <col min="8" max="9" width="2.75" style="3" customWidth="1"/>
    <col min="10" max="10" width="2.375" style="3" customWidth="1"/>
    <col min="11" max="11" width="2.75" style="3" customWidth="1"/>
    <col min="12" max="12" width="17.375" style="3" customWidth="1"/>
    <col min="13" max="13" width="7.875" style="3" customWidth="1"/>
    <col min="14" max="14" width="4.75" style="3" customWidth="1"/>
    <col min="15" max="15" width="9.125" style="3" customWidth="1"/>
    <col min="16" max="16384" width="11" style="3"/>
  </cols>
  <sheetData>
    <row r="1" spans="1:16">
      <c r="A1" s="716" t="s">
        <v>425</v>
      </c>
      <c r="B1" s="717"/>
      <c r="C1" s="717"/>
      <c r="D1" s="717"/>
      <c r="E1" s="717"/>
      <c r="F1" s="717"/>
      <c r="G1" s="717"/>
      <c r="H1" s="717"/>
      <c r="I1" s="717"/>
      <c r="J1" s="717"/>
      <c r="K1" s="717"/>
      <c r="L1" s="717"/>
      <c r="M1" s="717"/>
      <c r="N1" s="717"/>
      <c r="O1" s="717"/>
      <c r="P1" s="27" t="s">
        <v>48</v>
      </c>
    </row>
    <row r="2" spans="1:16" ht="18" customHeight="1">
      <c r="A2" s="22">
        <v>1.1000000000000001</v>
      </c>
      <c r="B2" s="718" t="s">
        <v>426</v>
      </c>
      <c r="C2" s="718"/>
      <c r="D2" s="198" t="str">
        <f>IF(ID=0," ",ID)</f>
        <v/>
      </c>
      <c r="E2" s="199"/>
      <c r="F2" s="199"/>
      <c r="G2" s="199"/>
      <c r="H2" s="199"/>
      <c r="I2" s="199"/>
      <c r="J2" s="199"/>
      <c r="K2" s="199"/>
      <c r="L2" s="199"/>
      <c r="M2" s="199"/>
      <c r="N2" s="199"/>
      <c r="O2" s="200"/>
    </row>
    <row r="3" spans="1:16" ht="27.75" customHeight="1">
      <c r="A3" s="22">
        <v>1.2</v>
      </c>
      <c r="B3" s="718" t="s">
        <v>310</v>
      </c>
      <c r="C3" s="718"/>
      <c r="D3" s="719" t="str">
        <f>IF(ORGN=0," ",ORGN)</f>
        <v/>
      </c>
      <c r="E3" s="719"/>
      <c r="F3" s="719"/>
      <c r="G3" s="719"/>
      <c r="H3" s="719"/>
      <c r="I3" s="719"/>
      <c r="J3" s="719"/>
      <c r="K3" s="719"/>
      <c r="L3" s="719"/>
      <c r="M3" s="719"/>
      <c r="N3" s="719"/>
      <c r="O3" s="719"/>
    </row>
    <row r="4" spans="1:16" ht="71.25" customHeight="1">
      <c r="A4" s="22">
        <v>1.3</v>
      </c>
      <c r="B4" s="718" t="s">
        <v>51</v>
      </c>
      <c r="C4" s="718"/>
      <c r="D4" s="719" t="str">
        <f>IF(ORGADD=0," ",ORGADD)</f>
        <v/>
      </c>
      <c r="E4" s="719"/>
      <c r="F4" s="719"/>
      <c r="G4" s="719"/>
      <c r="H4" s="719"/>
      <c r="I4" s="719"/>
      <c r="J4" s="719"/>
      <c r="K4" s="719"/>
      <c r="L4" s="719"/>
      <c r="M4" s="719"/>
      <c r="N4" s="719"/>
      <c r="O4" s="719"/>
    </row>
    <row r="5" spans="1:16" ht="39" customHeight="1">
      <c r="A5" s="22">
        <v>1.4</v>
      </c>
      <c r="B5" s="718" t="s">
        <v>55</v>
      </c>
      <c r="C5" s="718"/>
      <c r="D5" s="719" t="str">
        <f>IF(CONTACTPERS=0," ",CONTACTPERS)</f>
        <v/>
      </c>
      <c r="E5" s="719"/>
      <c r="F5" s="719"/>
      <c r="G5" s="719"/>
      <c r="H5" s="719"/>
      <c r="I5" s="718" t="s">
        <v>427</v>
      </c>
      <c r="J5" s="718"/>
      <c r="K5" s="718"/>
      <c r="L5" s="208" t="str">
        <f>IF(CONTACTNUM=0," ",CONTACTNUM)</f>
        <v/>
      </c>
      <c r="M5" s="208"/>
      <c r="N5" s="208"/>
      <c r="O5" s="208"/>
    </row>
    <row r="6" spans="1:16" ht="18" customHeight="1">
      <c r="A6" s="22">
        <v>1.5</v>
      </c>
      <c r="B6" s="718" t="s">
        <v>428</v>
      </c>
      <c r="C6" s="718"/>
      <c r="D6" s="719" t="str">
        <f>IF(ATP=0," ",ATP)</f>
        <v/>
      </c>
      <c r="E6" s="719"/>
      <c r="F6" s="719"/>
      <c r="G6" s="719"/>
      <c r="H6" s="719"/>
      <c r="I6" s="719"/>
      <c r="J6" s="719"/>
      <c r="K6" s="719"/>
      <c r="L6" s="719"/>
      <c r="M6" s="719"/>
      <c r="N6" s="719"/>
      <c r="O6" s="719"/>
    </row>
    <row r="7" spans="1:16" ht="16.5" customHeight="1">
      <c r="A7" s="22">
        <v>1.6</v>
      </c>
      <c r="B7" s="718" t="s">
        <v>319</v>
      </c>
      <c r="C7" s="718"/>
      <c r="D7" s="720" t="str">
        <f>IF(STANDARD=0," ",STANDARD)</f>
        <v/>
      </c>
      <c r="E7" s="721"/>
      <c r="F7" s="721"/>
      <c r="G7" s="721"/>
      <c r="H7" s="721"/>
      <c r="I7" s="721"/>
      <c r="J7" s="721"/>
      <c r="K7" s="721"/>
      <c r="L7" s="721"/>
      <c r="M7" s="721"/>
      <c r="N7" s="721"/>
      <c r="O7" s="722"/>
    </row>
    <row r="8" spans="1:16" ht="16.5" customHeight="1">
      <c r="A8" s="22">
        <v>1.7</v>
      </c>
      <c r="B8" s="723" t="s">
        <v>429</v>
      </c>
      <c r="C8" s="724"/>
      <c r="D8" s="725" t="str">
        <f>IF(ST1AUDPLAN=0," ",ST1AUDPLAN)</f>
        <v/>
      </c>
      <c r="E8" s="726"/>
      <c r="F8" s="726"/>
      <c r="G8" s="721"/>
      <c r="H8" s="32"/>
      <c r="I8" s="32"/>
      <c r="J8" s="32"/>
      <c r="K8" s="30"/>
      <c r="L8" s="30"/>
      <c r="M8" s="30"/>
      <c r="N8" s="30"/>
      <c r="O8" s="31"/>
    </row>
    <row r="9" spans="1:16" ht="16.5" customHeight="1">
      <c r="A9" s="22">
        <v>1.8</v>
      </c>
      <c r="B9" s="723" t="s">
        <v>430</v>
      </c>
      <c r="C9" s="727"/>
      <c r="D9" s="728" t="str">
        <f>IF(ST1AUDDATE1=0," ",ST1AUDDATE1)</f>
        <v/>
      </c>
      <c r="E9" s="728"/>
      <c r="F9" s="728"/>
      <c r="G9" s="30" t="s">
        <v>431</v>
      </c>
      <c r="H9" s="729" t="str">
        <f>IF(ST1AUDDATE2=0," ",ST1AUDDATE2)</f>
        <v/>
      </c>
      <c r="I9" s="641"/>
      <c r="J9" s="641"/>
      <c r="K9" s="30"/>
      <c r="L9" s="30"/>
      <c r="M9" s="30"/>
      <c r="N9" s="30"/>
      <c r="O9" s="31"/>
    </row>
    <row r="10" spans="1:16" ht="30.95" customHeight="1">
      <c r="A10" s="22">
        <v>1.9</v>
      </c>
      <c r="B10" s="723" t="s">
        <v>320</v>
      </c>
      <c r="C10" s="724"/>
      <c r="D10" s="730" t="str">
        <f>IF(MOA=0," ",MOA)</f>
        <v/>
      </c>
      <c r="E10" s="731"/>
      <c r="F10" s="732"/>
      <c r="G10" s="733" t="s">
        <v>321</v>
      </c>
      <c r="H10" s="734"/>
      <c r="I10" s="734"/>
      <c r="J10" s="735"/>
      <c r="K10" s="736" t="str">
        <f>IF(OML=0," ",OML)</f>
        <v/>
      </c>
      <c r="L10" s="737"/>
      <c r="M10" s="737"/>
      <c r="N10" s="737"/>
      <c r="O10" s="738"/>
    </row>
    <row r="11" spans="1:16" ht="43.5" customHeight="1">
      <c r="A11" s="22">
        <v>1.1000000000000001</v>
      </c>
      <c r="B11" s="718" t="s">
        <v>59</v>
      </c>
      <c r="C11" s="718"/>
      <c r="D11" s="739" t="str">
        <f>IF(SCOPE=0," ",SCOPE)</f>
        <v/>
      </c>
      <c r="E11" s="739"/>
      <c r="F11" s="739"/>
      <c r="G11" s="719"/>
      <c r="H11" s="739"/>
      <c r="I11" s="739"/>
      <c r="J11" s="739"/>
      <c r="K11" s="719"/>
      <c r="L11" s="719"/>
      <c r="M11" s="719"/>
      <c r="N11" s="719"/>
      <c r="O11" s="719"/>
    </row>
    <row r="12" spans="1:16" ht="39" customHeight="1">
      <c r="A12" s="33" t="s">
        <v>432</v>
      </c>
      <c r="B12" s="718" t="s">
        <v>433</v>
      </c>
      <c r="C12" s="718"/>
      <c r="D12" s="740" t="str">
        <f>IF(ICCODE=0," ",ICCODE)</f>
        <v xml:space="preserve"> </v>
      </c>
      <c r="E12" s="741"/>
      <c r="F12" s="741"/>
      <c r="G12" s="741"/>
      <c r="H12" s="741"/>
      <c r="I12" s="741"/>
      <c r="J12" s="741"/>
      <c r="K12" s="741"/>
      <c r="L12" s="741"/>
      <c r="M12" s="741"/>
      <c r="N12" s="741"/>
      <c r="O12" s="742"/>
    </row>
    <row r="13" spans="1:16" ht="120" customHeight="1">
      <c r="A13" s="22">
        <v>1.1200000000000001</v>
      </c>
      <c r="B13" s="723" t="s">
        <v>434</v>
      </c>
      <c r="C13" s="724"/>
      <c r="D13" s="740" t="s">
        <v>435</v>
      </c>
      <c r="E13" s="741"/>
      <c r="F13" s="741"/>
      <c r="G13" s="741"/>
      <c r="H13" s="741"/>
      <c r="I13" s="741"/>
      <c r="J13" s="741"/>
      <c r="K13" s="741"/>
      <c r="L13" s="741"/>
      <c r="M13" s="741"/>
      <c r="N13" s="741"/>
      <c r="O13" s="742"/>
    </row>
    <row r="14" spans="1:16" ht="18" customHeight="1">
      <c r="A14" s="22">
        <v>1.1299999999999999</v>
      </c>
      <c r="B14" s="718" t="s">
        <v>436</v>
      </c>
      <c r="C14" s="718"/>
      <c r="D14" s="719" t="str">
        <f>IF(AUDITLANG=0," ",AUDITLANG)</f>
        <v>English</v>
      </c>
      <c r="E14" s="719"/>
      <c r="F14" s="719"/>
      <c r="G14" s="719"/>
      <c r="H14" s="719"/>
      <c r="I14" s="719"/>
      <c r="J14" s="719"/>
      <c r="K14" s="719"/>
      <c r="L14" s="719"/>
      <c r="M14" s="719"/>
      <c r="N14" s="719"/>
      <c r="O14" s="719"/>
    </row>
    <row r="15" spans="1:16" ht="18" customHeight="1">
      <c r="A15" s="743" t="s">
        <v>343</v>
      </c>
      <c r="B15" s="743"/>
      <c r="C15" s="743"/>
      <c r="D15" s="743"/>
      <c r="E15" s="743"/>
      <c r="F15" s="743"/>
      <c r="G15" s="743"/>
      <c r="H15" s="743"/>
      <c r="I15" s="743"/>
      <c r="J15" s="743"/>
      <c r="K15" s="743"/>
      <c r="L15" s="743"/>
      <c r="M15" s="743"/>
      <c r="N15" s="743"/>
      <c r="O15" s="743"/>
    </row>
    <row r="16" spans="1:16" ht="18" customHeight="1">
      <c r="A16" s="218" t="s">
        <v>346</v>
      </c>
      <c r="B16" s="220"/>
      <c r="C16" s="218" t="s">
        <v>347</v>
      </c>
      <c r="D16" s="219"/>
      <c r="E16" s="219"/>
      <c r="F16" s="220"/>
      <c r="G16" s="774" t="s">
        <v>437</v>
      </c>
      <c r="H16" s="775"/>
      <c r="I16" s="775"/>
      <c r="J16" s="775"/>
      <c r="K16" s="776"/>
      <c r="L16" s="768" t="s">
        <v>438</v>
      </c>
      <c r="M16" s="769"/>
      <c r="N16" s="769"/>
      <c r="O16" s="770"/>
    </row>
    <row r="17" spans="1:15" ht="27.95" customHeight="1">
      <c r="A17" s="224"/>
      <c r="B17" s="226"/>
      <c r="C17" s="224"/>
      <c r="D17" s="225"/>
      <c r="E17" s="225"/>
      <c r="F17" s="226"/>
      <c r="G17" s="777"/>
      <c r="H17" s="778"/>
      <c r="I17" s="778"/>
      <c r="J17" s="778"/>
      <c r="K17" s="779"/>
      <c r="L17" s="771"/>
      <c r="M17" s="772"/>
      <c r="N17" s="772"/>
      <c r="O17" s="773"/>
    </row>
    <row r="18" spans="1:15" ht="18" customHeight="1">
      <c r="A18" s="648" t="str">
        <f>IF(AUDITOR1=0," ",AUDITOR1)</f>
        <v/>
      </c>
      <c r="B18" s="647"/>
      <c r="C18" s="744" t="str">
        <f>IF(ROLE1=0," ",ROLE1)</f>
        <v/>
      </c>
      <c r="D18" s="745"/>
      <c r="E18" s="745"/>
      <c r="F18" s="746"/>
      <c r="G18" s="644" t="s">
        <v>389</v>
      </c>
      <c r="H18" s="747"/>
      <c r="I18" s="747"/>
      <c r="J18" s="747"/>
      <c r="K18" s="645"/>
      <c r="L18" s="748" t="str">
        <f>IF(ST1MANDAY1=0," ",ST1MANDAY1)</f>
        <v/>
      </c>
      <c r="M18" s="749"/>
      <c r="N18" s="749"/>
      <c r="O18" s="750"/>
    </row>
    <row r="19" spans="1:15" ht="18" customHeight="1">
      <c r="A19" s="648"/>
      <c r="B19" s="647"/>
      <c r="C19" s="751"/>
      <c r="D19" s="752"/>
      <c r="E19" s="752"/>
      <c r="F19" s="753"/>
      <c r="G19" s="644"/>
      <c r="H19" s="747"/>
      <c r="I19" s="747"/>
      <c r="J19" s="747"/>
      <c r="K19" s="645"/>
      <c r="L19" s="748"/>
      <c r="M19" s="749"/>
      <c r="N19" s="749"/>
      <c r="O19" s="750"/>
    </row>
    <row r="20" spans="1:15" ht="18" customHeight="1">
      <c r="A20" s="648"/>
      <c r="B20" s="647"/>
      <c r="C20" s="751"/>
      <c r="D20" s="752"/>
      <c r="E20" s="752"/>
      <c r="F20" s="753"/>
      <c r="G20" s="644"/>
      <c r="H20" s="747"/>
      <c r="I20" s="747"/>
      <c r="J20" s="747"/>
      <c r="K20" s="645"/>
      <c r="L20" s="748"/>
      <c r="M20" s="749"/>
      <c r="N20" s="749"/>
      <c r="O20" s="750"/>
    </row>
    <row r="21" spans="1:15" ht="18" customHeight="1">
      <c r="A21" s="648"/>
      <c r="B21" s="647"/>
      <c r="C21" s="751"/>
      <c r="D21" s="752"/>
      <c r="E21" s="752"/>
      <c r="F21" s="753"/>
      <c r="G21" s="644"/>
      <c r="H21" s="747"/>
      <c r="I21" s="747"/>
      <c r="J21" s="747"/>
      <c r="K21" s="645"/>
      <c r="L21" s="748"/>
      <c r="M21" s="749"/>
      <c r="N21" s="749"/>
      <c r="O21" s="750"/>
    </row>
    <row r="22" spans="1:15" ht="18" customHeight="1">
      <c r="A22" s="648"/>
      <c r="B22" s="647"/>
      <c r="C22" s="751"/>
      <c r="D22" s="752"/>
      <c r="E22" s="752"/>
      <c r="F22" s="753"/>
      <c r="G22" s="751"/>
      <c r="H22" s="752"/>
      <c r="I22" s="752"/>
      <c r="J22" s="752"/>
      <c r="K22" s="753"/>
      <c r="L22" s="748"/>
      <c r="M22" s="749"/>
      <c r="N22" s="749"/>
      <c r="O22" s="750"/>
    </row>
    <row r="23" spans="1:15" ht="138.75" customHeight="1">
      <c r="A23" s="740" t="s">
        <v>439</v>
      </c>
      <c r="B23" s="741"/>
      <c r="C23" s="741"/>
      <c r="D23" s="741"/>
      <c r="E23" s="741"/>
      <c r="F23" s="741"/>
      <c r="G23" s="741"/>
      <c r="H23" s="741"/>
      <c r="I23" s="741"/>
      <c r="J23" s="741"/>
      <c r="K23" s="741"/>
      <c r="L23" s="741"/>
      <c r="M23" s="741"/>
      <c r="N23" s="741"/>
      <c r="O23" s="742"/>
    </row>
    <row r="24" spans="1:15" ht="140.25" customHeight="1">
      <c r="A24" s="740" t="s">
        <v>440</v>
      </c>
      <c r="B24" s="741"/>
      <c r="C24" s="741"/>
      <c r="D24" s="741"/>
      <c r="E24" s="741"/>
      <c r="F24" s="741"/>
      <c r="G24" s="741"/>
      <c r="H24" s="741"/>
      <c r="I24" s="741"/>
      <c r="J24" s="741"/>
      <c r="K24" s="741"/>
      <c r="L24" s="741"/>
      <c r="M24" s="741"/>
      <c r="N24" s="741"/>
      <c r="O24" s="742"/>
    </row>
    <row r="25" spans="1:15" ht="117" customHeight="1">
      <c r="A25" s="740" t="s">
        <v>441</v>
      </c>
      <c r="B25" s="727"/>
      <c r="C25" s="727"/>
      <c r="D25" s="727"/>
      <c r="E25" s="727"/>
      <c r="F25" s="727"/>
      <c r="G25" s="727"/>
      <c r="H25" s="727"/>
      <c r="I25" s="727"/>
      <c r="J25" s="727"/>
      <c r="K25" s="727"/>
      <c r="L25" s="727"/>
      <c r="M25" s="727"/>
      <c r="N25" s="727"/>
      <c r="O25" s="724"/>
    </row>
    <row r="26" spans="1:15" ht="110.25" customHeight="1">
      <c r="A26" s="740" t="s">
        <v>442</v>
      </c>
      <c r="B26" s="741"/>
      <c r="C26" s="741"/>
      <c r="D26" s="741"/>
      <c r="E26" s="741"/>
      <c r="F26" s="741"/>
      <c r="G26" s="741"/>
      <c r="H26" s="741"/>
      <c r="I26" s="741"/>
      <c r="J26" s="741"/>
      <c r="K26" s="741"/>
      <c r="L26" s="741"/>
      <c r="M26" s="741"/>
      <c r="N26" s="741"/>
      <c r="O26" s="742"/>
    </row>
    <row r="27" spans="1:15" ht="73.5" customHeight="1">
      <c r="A27" s="740" t="s">
        <v>443</v>
      </c>
      <c r="B27" s="727"/>
      <c r="C27" s="727"/>
      <c r="D27" s="727"/>
      <c r="E27" s="727"/>
      <c r="F27" s="727"/>
      <c r="G27" s="727"/>
      <c r="H27" s="727"/>
      <c r="I27" s="727"/>
      <c r="J27" s="727"/>
      <c r="K27" s="727"/>
      <c r="L27" s="727"/>
      <c r="M27" s="727"/>
      <c r="N27" s="727"/>
      <c r="O27" s="724"/>
    </row>
    <row r="28" spans="1:15" ht="111" customHeight="1">
      <c r="A28" s="740" t="s">
        <v>444</v>
      </c>
      <c r="B28" s="741"/>
      <c r="C28" s="741"/>
      <c r="D28" s="741"/>
      <c r="E28" s="741"/>
      <c r="F28" s="741"/>
      <c r="G28" s="741"/>
      <c r="H28" s="741"/>
      <c r="I28" s="741"/>
      <c r="J28" s="741"/>
      <c r="K28" s="741"/>
      <c r="L28" s="741"/>
      <c r="M28" s="741"/>
      <c r="N28" s="741"/>
      <c r="O28" s="742"/>
    </row>
    <row r="29" spans="1:15" ht="17.25" customHeight="1">
      <c r="A29" s="723" t="s">
        <v>445</v>
      </c>
      <c r="B29" s="727"/>
      <c r="C29" s="727"/>
      <c r="D29" s="727"/>
      <c r="E29" s="727"/>
      <c r="F29" s="727"/>
      <c r="G29" s="727"/>
      <c r="H29" s="727"/>
      <c r="I29" s="727"/>
      <c r="J29" s="727"/>
      <c r="K29" s="727"/>
      <c r="L29" s="727"/>
      <c r="M29" s="727"/>
      <c r="N29" s="727"/>
      <c r="O29" s="724"/>
    </row>
    <row r="30" spans="1:15" ht="23.25" customHeight="1">
      <c r="A30" s="751" t="s">
        <v>446</v>
      </c>
      <c r="B30" s="752"/>
      <c r="C30" s="752"/>
      <c r="D30" s="752"/>
      <c r="E30" s="752"/>
      <c r="F30" s="752"/>
      <c r="G30" s="752"/>
      <c r="H30" s="752"/>
      <c r="I30" s="752"/>
      <c r="J30" s="752"/>
      <c r="K30" s="752"/>
      <c r="L30" s="752"/>
      <c r="M30" s="752"/>
      <c r="N30" s="752"/>
      <c r="O30" s="753"/>
    </row>
    <row r="31" spans="1:15" ht="36" customHeight="1">
      <c r="A31" s="780" t="s">
        <v>447</v>
      </c>
      <c r="B31" s="780"/>
      <c r="C31" s="781" t="s">
        <v>448</v>
      </c>
      <c r="D31" s="781"/>
      <c r="E31" s="781"/>
      <c r="F31" s="782"/>
      <c r="G31" s="754" t="s">
        <v>449</v>
      </c>
      <c r="H31" s="754"/>
      <c r="I31" s="754"/>
      <c r="J31" s="754"/>
      <c r="K31" s="754"/>
      <c r="L31" s="766" t="s">
        <v>450</v>
      </c>
      <c r="M31" s="785" t="s">
        <v>451</v>
      </c>
      <c r="N31" s="781"/>
      <c r="O31" s="782"/>
    </row>
    <row r="32" spans="1:15" ht="36" customHeight="1">
      <c r="A32" s="780"/>
      <c r="B32" s="780"/>
      <c r="C32" s="783"/>
      <c r="D32" s="783"/>
      <c r="E32" s="783"/>
      <c r="F32" s="784"/>
      <c r="G32" s="754" t="s">
        <v>389</v>
      </c>
      <c r="H32" s="754"/>
      <c r="I32" s="754"/>
      <c r="J32" s="754"/>
      <c r="K32" s="754"/>
      <c r="L32" s="767"/>
      <c r="M32" s="786"/>
      <c r="N32" s="787"/>
      <c r="O32" s="788"/>
    </row>
    <row r="33" spans="1:15" ht="78.75" customHeight="1">
      <c r="A33" s="653"/>
      <c r="B33" s="744"/>
      <c r="C33" s="755" t="s">
        <v>814</v>
      </c>
      <c r="D33" s="756"/>
      <c r="E33" s="756"/>
      <c r="F33" s="757"/>
      <c r="G33" s="758" t="s">
        <v>390</v>
      </c>
      <c r="H33" s="759"/>
      <c r="I33" s="759"/>
      <c r="J33" s="759"/>
      <c r="K33" s="759"/>
      <c r="L33" s="37"/>
      <c r="M33" s="755"/>
      <c r="N33" s="756"/>
      <c r="O33" s="757"/>
    </row>
    <row r="34" spans="1:15" ht="89.25" customHeight="1">
      <c r="A34" s="760"/>
      <c r="B34" s="760"/>
      <c r="C34" s="755" t="s">
        <v>815</v>
      </c>
      <c r="D34" s="756" t="s">
        <v>391</v>
      </c>
      <c r="E34" s="756" t="s">
        <v>391</v>
      </c>
      <c r="F34" s="757" t="s">
        <v>391</v>
      </c>
      <c r="G34" s="758" t="s">
        <v>390</v>
      </c>
      <c r="H34" s="759" t="s">
        <v>390</v>
      </c>
      <c r="I34" s="759" t="s">
        <v>390</v>
      </c>
      <c r="J34" s="759" t="s">
        <v>390</v>
      </c>
      <c r="K34" s="759" t="s">
        <v>390</v>
      </c>
      <c r="L34" s="37"/>
      <c r="M34" s="755"/>
      <c r="N34" s="756"/>
      <c r="O34" s="757"/>
    </row>
    <row r="35" spans="1:15" ht="30" customHeight="1">
      <c r="A35" s="761"/>
      <c r="B35" s="762"/>
      <c r="C35" s="755" t="s">
        <v>392</v>
      </c>
      <c r="D35" s="756" t="s">
        <v>392</v>
      </c>
      <c r="E35" s="756" t="s">
        <v>392</v>
      </c>
      <c r="F35" s="757" t="s">
        <v>392</v>
      </c>
      <c r="G35" s="758" t="s">
        <v>390</v>
      </c>
      <c r="H35" s="759" t="s">
        <v>390</v>
      </c>
      <c r="I35" s="759" t="s">
        <v>390</v>
      </c>
      <c r="J35" s="759" t="s">
        <v>390</v>
      </c>
      <c r="K35" s="759" t="s">
        <v>390</v>
      </c>
      <c r="L35" s="37"/>
      <c r="M35" s="755"/>
      <c r="N35" s="756"/>
      <c r="O35" s="757"/>
    </row>
    <row r="36" spans="1:15" ht="32.1" customHeight="1">
      <c r="A36" s="761"/>
      <c r="B36" s="762"/>
      <c r="C36" s="755" t="s">
        <v>393</v>
      </c>
      <c r="D36" s="756" t="s">
        <v>393</v>
      </c>
      <c r="E36" s="756" t="s">
        <v>393</v>
      </c>
      <c r="F36" s="757" t="s">
        <v>393</v>
      </c>
      <c r="G36" s="758" t="s">
        <v>390</v>
      </c>
      <c r="H36" s="759" t="s">
        <v>390</v>
      </c>
      <c r="I36" s="759" t="s">
        <v>390</v>
      </c>
      <c r="J36" s="759" t="s">
        <v>390</v>
      </c>
      <c r="K36" s="759" t="s">
        <v>390</v>
      </c>
      <c r="L36" s="37"/>
      <c r="M36" s="755"/>
      <c r="N36" s="756"/>
      <c r="O36" s="757"/>
    </row>
    <row r="37" spans="1:15" ht="18" customHeight="1">
      <c r="A37" s="761"/>
      <c r="B37" s="762"/>
      <c r="C37" s="755" t="s">
        <v>394</v>
      </c>
      <c r="D37" s="756" t="s">
        <v>394</v>
      </c>
      <c r="E37" s="756" t="s">
        <v>394</v>
      </c>
      <c r="F37" s="757" t="s">
        <v>394</v>
      </c>
      <c r="G37" s="758" t="s">
        <v>390</v>
      </c>
      <c r="H37" s="759" t="s">
        <v>390</v>
      </c>
      <c r="I37" s="759" t="s">
        <v>390</v>
      </c>
      <c r="J37" s="759" t="s">
        <v>390</v>
      </c>
      <c r="K37" s="759" t="s">
        <v>390</v>
      </c>
      <c r="L37" s="37"/>
      <c r="M37" s="755"/>
      <c r="N37" s="756"/>
      <c r="O37" s="757"/>
    </row>
    <row r="38" spans="1:15" ht="18" customHeight="1">
      <c r="A38" s="760"/>
      <c r="B38" s="760"/>
      <c r="C38" s="755" t="s">
        <v>395</v>
      </c>
      <c r="D38" s="756" t="s">
        <v>395</v>
      </c>
      <c r="E38" s="756" t="s">
        <v>395</v>
      </c>
      <c r="F38" s="757" t="s">
        <v>395</v>
      </c>
      <c r="G38" s="758" t="s">
        <v>390</v>
      </c>
      <c r="H38" s="759" t="s">
        <v>390</v>
      </c>
      <c r="I38" s="759" t="s">
        <v>390</v>
      </c>
      <c r="J38" s="759" t="s">
        <v>390</v>
      </c>
      <c r="K38" s="759" t="s">
        <v>390</v>
      </c>
      <c r="L38" s="37"/>
      <c r="M38" s="755"/>
      <c r="N38" s="756"/>
      <c r="O38" s="757"/>
    </row>
    <row r="39" spans="1:15" ht="29.1" customHeight="1">
      <c r="A39" s="763"/>
      <c r="B39" s="763"/>
      <c r="C39" s="755" t="s">
        <v>396</v>
      </c>
      <c r="D39" s="756" t="s">
        <v>396</v>
      </c>
      <c r="E39" s="756" t="s">
        <v>396</v>
      </c>
      <c r="F39" s="757" t="s">
        <v>396</v>
      </c>
      <c r="G39" s="758" t="s">
        <v>390</v>
      </c>
      <c r="H39" s="759" t="s">
        <v>390</v>
      </c>
      <c r="I39" s="759" t="s">
        <v>390</v>
      </c>
      <c r="J39" s="759" t="s">
        <v>390</v>
      </c>
      <c r="K39" s="759" t="s">
        <v>390</v>
      </c>
      <c r="L39" s="37"/>
      <c r="M39" s="755"/>
      <c r="N39" s="756"/>
      <c r="O39" s="757"/>
    </row>
    <row r="40" spans="1:15" ht="29.1" customHeight="1">
      <c r="A40" s="763"/>
      <c r="B40" s="763"/>
      <c r="C40" s="755" t="s">
        <v>397</v>
      </c>
      <c r="D40" s="756" t="s">
        <v>397</v>
      </c>
      <c r="E40" s="756" t="s">
        <v>397</v>
      </c>
      <c r="F40" s="757" t="s">
        <v>397</v>
      </c>
      <c r="G40" s="758" t="s">
        <v>390</v>
      </c>
      <c r="H40" s="759" t="s">
        <v>390</v>
      </c>
      <c r="I40" s="759" t="s">
        <v>390</v>
      </c>
      <c r="J40" s="759" t="s">
        <v>390</v>
      </c>
      <c r="K40" s="759" t="s">
        <v>390</v>
      </c>
      <c r="L40" s="37"/>
      <c r="M40" s="755"/>
      <c r="N40" s="756"/>
      <c r="O40" s="757"/>
    </row>
    <row r="41" spans="1:15" ht="33" customHeight="1">
      <c r="A41" s="763"/>
      <c r="B41" s="763"/>
      <c r="C41" s="755" t="s">
        <v>398</v>
      </c>
      <c r="D41" s="756" t="s">
        <v>398</v>
      </c>
      <c r="E41" s="756" t="s">
        <v>398</v>
      </c>
      <c r="F41" s="757" t="s">
        <v>398</v>
      </c>
      <c r="G41" s="758" t="s">
        <v>390</v>
      </c>
      <c r="H41" s="759" t="s">
        <v>390</v>
      </c>
      <c r="I41" s="759" t="s">
        <v>390</v>
      </c>
      <c r="J41" s="759" t="s">
        <v>390</v>
      </c>
      <c r="K41" s="759" t="s">
        <v>390</v>
      </c>
      <c r="L41" s="37"/>
      <c r="M41" s="755"/>
      <c r="N41" s="756"/>
      <c r="O41" s="757"/>
    </row>
    <row r="42" spans="1:15" ht="18" customHeight="1">
      <c r="A42" s="763"/>
      <c r="B42" s="763"/>
      <c r="C42" s="755" t="s">
        <v>399</v>
      </c>
      <c r="D42" s="756" t="s">
        <v>399</v>
      </c>
      <c r="E42" s="756" t="s">
        <v>399</v>
      </c>
      <c r="F42" s="757" t="s">
        <v>399</v>
      </c>
      <c r="G42" s="758" t="s">
        <v>390</v>
      </c>
      <c r="H42" s="759" t="s">
        <v>390</v>
      </c>
      <c r="I42" s="759" t="s">
        <v>390</v>
      </c>
      <c r="J42" s="759" t="s">
        <v>390</v>
      </c>
      <c r="K42" s="759" t="s">
        <v>452</v>
      </c>
      <c r="L42" s="37"/>
      <c r="M42" s="755"/>
      <c r="N42" s="756"/>
      <c r="O42" s="757"/>
    </row>
    <row r="43" spans="1:15" ht="20.100000000000001" customHeight="1">
      <c r="A43" s="763"/>
      <c r="B43" s="763"/>
      <c r="C43" s="755" t="s">
        <v>400</v>
      </c>
      <c r="D43" s="756" t="s">
        <v>400</v>
      </c>
      <c r="E43" s="756" t="s">
        <v>400</v>
      </c>
      <c r="F43" s="757" t="s">
        <v>400</v>
      </c>
      <c r="G43" s="758" t="s">
        <v>390</v>
      </c>
      <c r="H43" s="759" t="s">
        <v>390</v>
      </c>
      <c r="I43" s="759" t="s">
        <v>390</v>
      </c>
      <c r="J43" s="759" t="s">
        <v>390</v>
      </c>
      <c r="K43" s="759" t="s">
        <v>390</v>
      </c>
      <c r="L43" s="37"/>
      <c r="M43" s="755"/>
      <c r="N43" s="756"/>
      <c r="O43" s="757"/>
    </row>
    <row r="44" spans="1:15" ht="18.95" customHeight="1">
      <c r="A44" s="763"/>
      <c r="B44" s="763"/>
      <c r="C44" s="755" t="s">
        <v>401</v>
      </c>
      <c r="D44" s="756" t="s">
        <v>401</v>
      </c>
      <c r="E44" s="756" t="s">
        <v>401</v>
      </c>
      <c r="F44" s="757" t="s">
        <v>401</v>
      </c>
      <c r="G44" s="758" t="s">
        <v>390</v>
      </c>
      <c r="H44" s="759" t="s">
        <v>390</v>
      </c>
      <c r="I44" s="759" t="s">
        <v>390</v>
      </c>
      <c r="J44" s="759" t="s">
        <v>390</v>
      </c>
      <c r="K44" s="759" t="s">
        <v>390</v>
      </c>
      <c r="L44" s="37"/>
      <c r="M44" s="755"/>
      <c r="N44" s="756"/>
      <c r="O44" s="757"/>
    </row>
    <row r="45" spans="1:15" ht="15.95" customHeight="1">
      <c r="A45" s="763"/>
      <c r="B45" s="763"/>
      <c r="C45" s="755" t="s">
        <v>402</v>
      </c>
      <c r="D45" s="756" t="s">
        <v>402</v>
      </c>
      <c r="E45" s="756" t="s">
        <v>402</v>
      </c>
      <c r="F45" s="757" t="s">
        <v>402</v>
      </c>
      <c r="G45" s="758" t="s">
        <v>390</v>
      </c>
      <c r="H45" s="759" t="s">
        <v>390</v>
      </c>
      <c r="I45" s="759" t="s">
        <v>390</v>
      </c>
      <c r="J45" s="759" t="s">
        <v>390</v>
      </c>
      <c r="K45" s="759" t="s">
        <v>390</v>
      </c>
      <c r="L45" s="37"/>
      <c r="M45" s="755"/>
      <c r="N45" s="756"/>
      <c r="O45" s="757"/>
    </row>
    <row r="46" spans="1:15" ht="15" customHeight="1">
      <c r="A46" s="763"/>
      <c r="B46" s="763"/>
      <c r="C46" s="755" t="s">
        <v>403</v>
      </c>
      <c r="D46" s="756" t="s">
        <v>403</v>
      </c>
      <c r="E46" s="756" t="s">
        <v>403</v>
      </c>
      <c r="F46" s="757" t="s">
        <v>403</v>
      </c>
      <c r="G46" s="758" t="s">
        <v>390</v>
      </c>
      <c r="H46" s="759" t="s">
        <v>390</v>
      </c>
      <c r="I46" s="759" t="s">
        <v>390</v>
      </c>
      <c r="J46" s="759" t="s">
        <v>390</v>
      </c>
      <c r="K46" s="759" t="s">
        <v>390</v>
      </c>
      <c r="L46" s="37"/>
      <c r="M46" s="755"/>
      <c r="N46" s="756"/>
      <c r="O46" s="757"/>
    </row>
    <row r="47" spans="1:15" ht="12.95" customHeight="1">
      <c r="A47" s="763"/>
      <c r="B47" s="763"/>
      <c r="C47" s="755" t="s">
        <v>404</v>
      </c>
      <c r="D47" s="756" t="s">
        <v>404</v>
      </c>
      <c r="E47" s="756" t="s">
        <v>404</v>
      </c>
      <c r="F47" s="757" t="s">
        <v>404</v>
      </c>
      <c r="G47" s="758" t="s">
        <v>390</v>
      </c>
      <c r="H47" s="759" t="s">
        <v>390</v>
      </c>
      <c r="I47" s="759" t="s">
        <v>390</v>
      </c>
      <c r="J47" s="759" t="s">
        <v>390</v>
      </c>
      <c r="K47" s="759" t="s">
        <v>390</v>
      </c>
      <c r="L47" s="37"/>
      <c r="M47" s="755"/>
      <c r="N47" s="756"/>
      <c r="O47" s="757"/>
    </row>
    <row r="48" spans="1:15" ht="30.95" customHeight="1">
      <c r="A48" s="763"/>
      <c r="B48" s="763"/>
      <c r="C48" s="755" t="s">
        <v>405</v>
      </c>
      <c r="D48" s="756" t="s">
        <v>405</v>
      </c>
      <c r="E48" s="756" t="s">
        <v>405</v>
      </c>
      <c r="F48" s="757" t="s">
        <v>405</v>
      </c>
      <c r="G48" s="758" t="s">
        <v>390</v>
      </c>
      <c r="H48" s="759" t="s">
        <v>390</v>
      </c>
      <c r="I48" s="759" t="s">
        <v>390</v>
      </c>
      <c r="J48" s="759" t="s">
        <v>390</v>
      </c>
      <c r="K48" s="759" t="s">
        <v>390</v>
      </c>
      <c r="L48" s="37"/>
      <c r="M48" s="755"/>
      <c r="N48" s="756"/>
      <c r="O48" s="757"/>
    </row>
    <row r="49" spans="1:15" ht="29.1" customHeight="1">
      <c r="A49" s="763"/>
      <c r="B49" s="763"/>
      <c r="C49" s="755" t="s">
        <v>406</v>
      </c>
      <c r="D49" s="756" t="s">
        <v>406</v>
      </c>
      <c r="E49" s="756" t="s">
        <v>406</v>
      </c>
      <c r="F49" s="757" t="s">
        <v>406</v>
      </c>
      <c r="G49" s="758" t="s">
        <v>390</v>
      </c>
      <c r="H49" s="759" t="s">
        <v>452</v>
      </c>
      <c r="I49" s="759" t="s">
        <v>452</v>
      </c>
      <c r="J49" s="759" t="s">
        <v>452</v>
      </c>
      <c r="K49" s="759" t="s">
        <v>452</v>
      </c>
      <c r="L49" s="37"/>
      <c r="M49" s="755"/>
      <c r="N49" s="756"/>
      <c r="O49" s="757"/>
    </row>
    <row r="50" spans="1:15" ht="21" customHeight="1">
      <c r="A50" s="763"/>
      <c r="B50" s="763"/>
      <c r="C50" s="755" t="s">
        <v>407</v>
      </c>
      <c r="D50" s="756" t="s">
        <v>407</v>
      </c>
      <c r="E50" s="756" t="s">
        <v>407</v>
      </c>
      <c r="F50" s="757" t="s">
        <v>407</v>
      </c>
      <c r="G50" s="758" t="s">
        <v>390</v>
      </c>
      <c r="H50" s="759" t="s">
        <v>452</v>
      </c>
      <c r="I50" s="759" t="s">
        <v>452</v>
      </c>
      <c r="J50" s="759" t="s">
        <v>452</v>
      </c>
      <c r="K50" s="759" t="s">
        <v>452</v>
      </c>
      <c r="L50" s="37"/>
      <c r="M50" s="755"/>
      <c r="N50" s="756"/>
      <c r="O50" s="757"/>
    </row>
    <row r="51" spans="1:15" ht="32.1" customHeight="1">
      <c r="A51" s="763"/>
      <c r="B51" s="763"/>
      <c r="C51" s="755" t="s">
        <v>408</v>
      </c>
      <c r="D51" s="756" t="s">
        <v>408</v>
      </c>
      <c r="E51" s="756" t="s">
        <v>408</v>
      </c>
      <c r="F51" s="757" t="s">
        <v>408</v>
      </c>
      <c r="G51" s="758" t="s">
        <v>390</v>
      </c>
      <c r="H51" s="759" t="s">
        <v>452</v>
      </c>
      <c r="I51" s="759" t="s">
        <v>452</v>
      </c>
      <c r="J51" s="759" t="s">
        <v>452</v>
      </c>
      <c r="K51" s="759" t="s">
        <v>452</v>
      </c>
      <c r="L51" s="37"/>
      <c r="M51" s="755"/>
      <c r="N51" s="756"/>
      <c r="O51" s="757"/>
    </row>
    <row r="52" spans="1:15" ht="30" customHeight="1">
      <c r="A52" s="763"/>
      <c r="B52" s="763"/>
      <c r="C52" s="755" t="s">
        <v>409</v>
      </c>
      <c r="D52" s="756" t="s">
        <v>409</v>
      </c>
      <c r="E52" s="756" t="s">
        <v>409</v>
      </c>
      <c r="F52" s="757" t="s">
        <v>409</v>
      </c>
      <c r="G52" s="758" t="s">
        <v>390</v>
      </c>
      <c r="H52" s="759" t="s">
        <v>452</v>
      </c>
      <c r="I52" s="759" t="s">
        <v>390</v>
      </c>
      <c r="J52" s="759" t="s">
        <v>452</v>
      </c>
      <c r="K52" s="759" t="s">
        <v>452</v>
      </c>
      <c r="L52" s="37"/>
      <c r="M52" s="755"/>
      <c r="N52" s="756"/>
      <c r="O52" s="757"/>
    </row>
    <row r="53" spans="1:15" ht="33" customHeight="1">
      <c r="A53" s="763"/>
      <c r="B53" s="763"/>
      <c r="C53" s="755" t="s">
        <v>410</v>
      </c>
      <c r="D53" s="756" t="s">
        <v>410</v>
      </c>
      <c r="E53" s="756" t="s">
        <v>410</v>
      </c>
      <c r="F53" s="757" t="s">
        <v>410</v>
      </c>
      <c r="G53" s="758" t="s">
        <v>390</v>
      </c>
      <c r="H53" s="759" t="s">
        <v>452</v>
      </c>
      <c r="I53" s="759" t="s">
        <v>452</v>
      </c>
      <c r="J53" s="759" t="s">
        <v>452</v>
      </c>
      <c r="K53" s="759" t="s">
        <v>452</v>
      </c>
      <c r="L53" s="37"/>
      <c r="M53" s="755"/>
      <c r="N53" s="756"/>
      <c r="O53" s="757"/>
    </row>
    <row r="54" spans="1:15" ht="30" customHeight="1">
      <c r="A54" s="763"/>
      <c r="B54" s="763"/>
      <c r="C54" s="755" t="s">
        <v>411</v>
      </c>
      <c r="D54" s="756" t="s">
        <v>411</v>
      </c>
      <c r="E54" s="756" t="s">
        <v>411</v>
      </c>
      <c r="F54" s="757" t="s">
        <v>411</v>
      </c>
      <c r="G54" s="758" t="s">
        <v>390</v>
      </c>
      <c r="H54" s="759" t="s">
        <v>452</v>
      </c>
      <c r="I54" s="759" t="s">
        <v>452</v>
      </c>
      <c r="J54" s="759" t="s">
        <v>452</v>
      </c>
      <c r="K54" s="759" t="s">
        <v>452</v>
      </c>
      <c r="L54" s="37"/>
      <c r="M54" s="755"/>
      <c r="N54" s="756"/>
      <c r="O54" s="757"/>
    </row>
    <row r="55" spans="1:15" ht="30" customHeight="1">
      <c r="A55" s="763"/>
      <c r="B55" s="763"/>
      <c r="C55" s="755" t="s">
        <v>412</v>
      </c>
      <c r="D55" s="756" t="s">
        <v>412</v>
      </c>
      <c r="E55" s="756" t="s">
        <v>412</v>
      </c>
      <c r="F55" s="757" t="s">
        <v>412</v>
      </c>
      <c r="G55" s="758" t="s">
        <v>390</v>
      </c>
      <c r="H55" s="759" t="s">
        <v>390</v>
      </c>
      <c r="I55" s="759" t="s">
        <v>390</v>
      </c>
      <c r="J55" s="759" t="s">
        <v>390</v>
      </c>
      <c r="K55" s="759" t="s">
        <v>390</v>
      </c>
      <c r="L55" s="37"/>
      <c r="M55" s="755"/>
      <c r="N55" s="756"/>
      <c r="O55" s="757"/>
    </row>
    <row r="56" spans="1:15" ht="30" customHeight="1">
      <c r="A56" s="763"/>
      <c r="B56" s="763"/>
      <c r="C56" s="755" t="s">
        <v>413</v>
      </c>
      <c r="D56" s="756" t="s">
        <v>413</v>
      </c>
      <c r="E56" s="756" t="s">
        <v>413</v>
      </c>
      <c r="F56" s="757" t="s">
        <v>413</v>
      </c>
      <c r="G56" s="758" t="s">
        <v>390</v>
      </c>
      <c r="H56" s="759" t="s">
        <v>452</v>
      </c>
      <c r="I56" s="759" t="s">
        <v>452</v>
      </c>
      <c r="J56" s="759" t="s">
        <v>452</v>
      </c>
      <c r="K56" s="759" t="s">
        <v>390</v>
      </c>
      <c r="L56" s="37"/>
      <c r="M56" s="755"/>
      <c r="N56" s="756"/>
      <c r="O56" s="757"/>
    </row>
    <row r="57" spans="1:15" ht="15" customHeight="1">
      <c r="A57" s="763"/>
      <c r="B57" s="763"/>
      <c r="C57" s="755" t="s">
        <v>414</v>
      </c>
      <c r="D57" s="756" t="s">
        <v>414</v>
      </c>
      <c r="E57" s="756" t="s">
        <v>414</v>
      </c>
      <c r="F57" s="757" t="s">
        <v>414</v>
      </c>
      <c r="G57" s="758" t="s">
        <v>390</v>
      </c>
      <c r="H57" s="759" t="s">
        <v>390</v>
      </c>
      <c r="I57" s="759" t="s">
        <v>390</v>
      </c>
      <c r="J57" s="759" t="s">
        <v>390</v>
      </c>
      <c r="K57" s="759" t="s">
        <v>390</v>
      </c>
      <c r="L57" s="37"/>
      <c r="M57" s="755"/>
      <c r="N57" s="756"/>
      <c r="O57" s="757"/>
    </row>
    <row r="58" spans="1:15" ht="15" customHeight="1">
      <c r="A58" s="763"/>
      <c r="B58" s="763"/>
      <c r="C58" s="755" t="s">
        <v>415</v>
      </c>
      <c r="D58" s="756" t="s">
        <v>415</v>
      </c>
      <c r="E58" s="756" t="s">
        <v>415</v>
      </c>
      <c r="F58" s="757" t="s">
        <v>415</v>
      </c>
      <c r="G58" s="758" t="s">
        <v>390</v>
      </c>
      <c r="H58" s="759" t="s">
        <v>390</v>
      </c>
      <c r="I58" s="759" t="s">
        <v>390</v>
      </c>
      <c r="J58" s="759" t="s">
        <v>390</v>
      </c>
      <c r="K58" s="759" t="s">
        <v>390</v>
      </c>
      <c r="L58" s="37"/>
      <c r="M58" s="755"/>
      <c r="N58" s="756"/>
      <c r="O58" s="757"/>
    </row>
    <row r="59" spans="1:15" ht="30" customHeight="1">
      <c r="A59" s="763"/>
      <c r="B59" s="763"/>
      <c r="C59" s="755" t="s">
        <v>416</v>
      </c>
      <c r="D59" s="756" t="s">
        <v>416</v>
      </c>
      <c r="E59" s="756" t="s">
        <v>416</v>
      </c>
      <c r="F59" s="757" t="s">
        <v>416</v>
      </c>
      <c r="G59" s="758" t="s">
        <v>390</v>
      </c>
      <c r="H59" s="759" t="s">
        <v>390</v>
      </c>
      <c r="I59" s="759" t="s">
        <v>390</v>
      </c>
      <c r="J59" s="759" t="s">
        <v>390</v>
      </c>
      <c r="K59" s="759" t="s">
        <v>390</v>
      </c>
      <c r="L59" s="37"/>
      <c r="M59" s="755"/>
      <c r="N59" s="756"/>
      <c r="O59" s="757"/>
    </row>
    <row r="60" spans="1:15" ht="30" customHeight="1">
      <c r="A60" s="763"/>
      <c r="B60" s="763"/>
      <c r="C60" s="755" t="s">
        <v>417</v>
      </c>
      <c r="D60" s="756" t="s">
        <v>417</v>
      </c>
      <c r="E60" s="756" t="s">
        <v>417</v>
      </c>
      <c r="F60" s="757" t="s">
        <v>417</v>
      </c>
      <c r="G60" s="758" t="s">
        <v>390</v>
      </c>
      <c r="H60" s="759" t="s">
        <v>390</v>
      </c>
      <c r="I60" s="759" t="s">
        <v>390</v>
      </c>
      <c r="J60" s="759" t="s">
        <v>390</v>
      </c>
      <c r="K60" s="759" t="s">
        <v>390</v>
      </c>
      <c r="L60" s="37"/>
      <c r="M60" s="755"/>
      <c r="N60" s="756"/>
      <c r="O60" s="757"/>
    </row>
    <row r="61" spans="1:15" ht="30" customHeight="1">
      <c r="A61" s="763"/>
      <c r="B61" s="763"/>
      <c r="C61" s="755" t="s">
        <v>418</v>
      </c>
      <c r="D61" s="756" t="s">
        <v>418</v>
      </c>
      <c r="E61" s="756" t="s">
        <v>418</v>
      </c>
      <c r="F61" s="757" t="s">
        <v>418</v>
      </c>
      <c r="G61" s="758" t="s">
        <v>390</v>
      </c>
      <c r="H61" s="759" t="s">
        <v>390</v>
      </c>
      <c r="I61" s="759" t="s">
        <v>390</v>
      </c>
      <c r="J61" s="759" t="s">
        <v>452</v>
      </c>
      <c r="K61" s="759" t="s">
        <v>390</v>
      </c>
      <c r="L61" s="37"/>
      <c r="M61" s="755"/>
      <c r="N61" s="756"/>
      <c r="O61" s="757"/>
    </row>
    <row r="62" spans="1:15" ht="24.75" customHeight="1">
      <c r="A62" s="763"/>
      <c r="B62" s="763"/>
      <c r="C62" s="755"/>
      <c r="D62" s="756"/>
      <c r="E62" s="756"/>
      <c r="F62" s="757"/>
      <c r="G62" s="758"/>
      <c r="H62" s="759"/>
      <c r="I62" s="759"/>
      <c r="J62" s="759"/>
      <c r="K62" s="759"/>
      <c r="L62" s="764"/>
      <c r="M62" s="764"/>
      <c r="N62" s="764"/>
      <c r="O62" s="764"/>
    </row>
    <row r="63" spans="1:15" ht="24.75" customHeight="1">
      <c r="A63" s="763"/>
      <c r="B63" s="763"/>
      <c r="C63" s="755"/>
      <c r="D63" s="756"/>
      <c r="E63" s="756"/>
      <c r="F63" s="757"/>
      <c r="G63" s="758"/>
      <c r="H63" s="759"/>
      <c r="I63" s="759"/>
      <c r="J63" s="759"/>
      <c r="K63" s="759"/>
      <c r="L63" s="764"/>
      <c r="M63" s="764"/>
      <c r="N63" s="764"/>
      <c r="O63" s="764"/>
    </row>
    <row r="64" spans="1:15" ht="24.75" customHeight="1">
      <c r="A64" s="763"/>
      <c r="B64" s="763"/>
      <c r="C64" s="755"/>
      <c r="D64" s="756"/>
      <c r="E64" s="756"/>
      <c r="F64" s="757"/>
      <c r="G64" s="758"/>
      <c r="H64" s="759"/>
      <c r="I64" s="759"/>
      <c r="J64" s="759"/>
      <c r="K64" s="759"/>
      <c r="L64" s="764"/>
      <c r="M64" s="764"/>
      <c r="N64" s="764"/>
      <c r="O64" s="764"/>
    </row>
    <row r="65" spans="1:15" ht="24.75" customHeight="1">
      <c r="A65" s="763"/>
      <c r="B65" s="763"/>
      <c r="C65" s="755"/>
      <c r="D65" s="756"/>
      <c r="E65" s="756"/>
      <c r="F65" s="757"/>
      <c r="G65" s="758"/>
      <c r="H65" s="759"/>
      <c r="I65" s="759"/>
      <c r="J65" s="759"/>
      <c r="K65" s="759"/>
      <c r="L65" s="764"/>
      <c r="M65" s="764"/>
      <c r="N65" s="764"/>
      <c r="O65" s="764"/>
    </row>
    <row r="66" spans="1:15" ht="24.75" customHeight="1">
      <c r="A66" s="763"/>
      <c r="B66" s="763"/>
      <c r="C66" s="755"/>
      <c r="D66" s="756"/>
      <c r="E66" s="756"/>
      <c r="F66" s="757"/>
      <c r="G66" s="758"/>
      <c r="H66" s="759"/>
      <c r="I66" s="759"/>
      <c r="J66" s="759"/>
      <c r="K66" s="759"/>
      <c r="L66" s="764"/>
      <c r="M66" s="764"/>
      <c r="N66" s="764"/>
      <c r="O66" s="764"/>
    </row>
    <row r="67" spans="1:15" ht="24.75" customHeight="1">
      <c r="A67" s="763"/>
      <c r="B67" s="763"/>
      <c r="C67" s="755"/>
      <c r="D67" s="756"/>
      <c r="E67" s="756"/>
      <c r="F67" s="757"/>
      <c r="G67" s="758"/>
      <c r="H67" s="759"/>
      <c r="I67" s="759"/>
      <c r="J67" s="759"/>
      <c r="K67" s="759"/>
      <c r="L67" s="764"/>
      <c r="M67" s="764"/>
      <c r="N67" s="764"/>
      <c r="O67" s="764"/>
    </row>
    <row r="68" spans="1:15" ht="24.75" customHeight="1">
      <c r="A68" s="763"/>
      <c r="B68" s="763"/>
      <c r="C68" s="755"/>
      <c r="D68" s="756"/>
      <c r="E68" s="756"/>
      <c r="F68" s="757"/>
      <c r="G68" s="758"/>
      <c r="H68" s="759"/>
      <c r="I68" s="759"/>
      <c r="J68" s="759"/>
      <c r="K68" s="759"/>
      <c r="L68" s="764"/>
      <c r="M68" s="764"/>
      <c r="N68" s="764"/>
      <c r="O68" s="764"/>
    </row>
    <row r="69" spans="1:15" ht="24.75" customHeight="1">
      <c r="A69" s="763"/>
      <c r="B69" s="763"/>
      <c r="C69" s="755"/>
      <c r="D69" s="756"/>
      <c r="E69" s="756"/>
      <c r="F69" s="757"/>
      <c r="G69" s="758"/>
      <c r="H69" s="759"/>
      <c r="I69" s="759"/>
      <c r="J69" s="759"/>
      <c r="K69" s="759"/>
      <c r="L69" s="764"/>
      <c r="M69" s="764"/>
      <c r="N69" s="764"/>
      <c r="O69" s="764"/>
    </row>
    <row r="70" spans="1:15" ht="24.75" customHeight="1">
      <c r="A70" s="763"/>
      <c r="B70" s="763"/>
      <c r="C70" s="755"/>
      <c r="D70" s="756"/>
      <c r="E70" s="756"/>
      <c r="F70" s="757"/>
      <c r="G70" s="758"/>
      <c r="H70" s="759"/>
      <c r="I70" s="759"/>
      <c r="J70" s="759"/>
      <c r="K70" s="759"/>
      <c r="L70" s="764"/>
      <c r="M70" s="764"/>
      <c r="N70" s="764"/>
      <c r="O70" s="764"/>
    </row>
    <row r="71" spans="1:15" ht="24.75" customHeight="1">
      <c r="A71" s="763"/>
      <c r="B71" s="763"/>
      <c r="C71" s="755"/>
      <c r="D71" s="756"/>
      <c r="E71" s="756"/>
      <c r="F71" s="757"/>
      <c r="G71" s="758"/>
      <c r="H71" s="759"/>
      <c r="I71" s="759"/>
      <c r="J71" s="759"/>
      <c r="K71" s="759"/>
      <c r="L71" s="764"/>
      <c r="M71" s="764"/>
      <c r="N71" s="764"/>
      <c r="O71" s="764"/>
    </row>
    <row r="72" spans="1:15" ht="24.75" customHeight="1">
      <c r="A72" s="763"/>
      <c r="B72" s="763"/>
      <c r="C72" s="755"/>
      <c r="D72" s="756"/>
      <c r="E72" s="756"/>
      <c r="F72" s="757"/>
      <c r="G72" s="758"/>
      <c r="H72" s="759"/>
      <c r="I72" s="759"/>
      <c r="J72" s="759"/>
      <c r="K72" s="759"/>
      <c r="L72" s="764"/>
      <c r="M72" s="764"/>
      <c r="N72" s="764"/>
      <c r="O72" s="764"/>
    </row>
    <row r="73" spans="1:15" ht="24.75" customHeight="1">
      <c r="A73" s="763"/>
      <c r="B73" s="763"/>
      <c r="C73" s="755"/>
      <c r="D73" s="756"/>
      <c r="E73" s="756"/>
      <c r="F73" s="757"/>
      <c r="G73" s="758"/>
      <c r="H73" s="759"/>
      <c r="I73" s="759"/>
      <c r="J73" s="759"/>
      <c r="K73" s="759"/>
      <c r="L73" s="764"/>
      <c r="M73" s="764"/>
      <c r="N73" s="764"/>
      <c r="O73" s="764"/>
    </row>
    <row r="74" spans="1:15" ht="24.75" customHeight="1">
      <c r="A74" s="763"/>
      <c r="B74" s="763"/>
      <c r="C74" s="755"/>
      <c r="D74" s="756"/>
      <c r="E74" s="756"/>
      <c r="F74" s="757"/>
      <c r="G74" s="758"/>
      <c r="H74" s="759"/>
      <c r="I74" s="759"/>
      <c r="J74" s="759"/>
      <c r="K74" s="759"/>
      <c r="L74" s="764"/>
      <c r="M74" s="764"/>
      <c r="N74" s="764"/>
      <c r="O74" s="764"/>
    </row>
    <row r="75" spans="1:15" ht="24.75" customHeight="1">
      <c r="A75" s="763"/>
      <c r="B75" s="763"/>
      <c r="C75" s="755"/>
      <c r="D75" s="756"/>
      <c r="E75" s="756"/>
      <c r="F75" s="757"/>
      <c r="G75" s="758"/>
      <c r="H75" s="759"/>
      <c r="I75" s="759"/>
      <c r="J75" s="759"/>
      <c r="K75" s="759"/>
      <c r="L75" s="764"/>
      <c r="M75" s="764"/>
      <c r="N75" s="764"/>
      <c r="O75" s="764"/>
    </row>
    <row r="76" spans="1:15" ht="24.75" customHeight="1">
      <c r="A76" s="763"/>
      <c r="B76" s="763"/>
      <c r="C76" s="755"/>
      <c r="D76" s="756"/>
      <c r="E76" s="756"/>
      <c r="F76" s="757"/>
      <c r="G76" s="758"/>
      <c r="H76" s="759"/>
      <c r="I76" s="759"/>
      <c r="J76" s="759"/>
      <c r="K76" s="759"/>
      <c r="L76" s="764"/>
      <c r="M76" s="764"/>
      <c r="N76" s="764"/>
      <c r="O76" s="764"/>
    </row>
    <row r="77" spans="1:15" ht="24.75" customHeight="1">
      <c r="A77" s="763"/>
      <c r="B77" s="763"/>
      <c r="C77" s="755"/>
      <c r="D77" s="756"/>
      <c r="E77" s="756"/>
      <c r="F77" s="757"/>
      <c r="G77" s="758"/>
      <c r="H77" s="759"/>
      <c r="I77" s="759"/>
      <c r="J77" s="759"/>
      <c r="K77" s="759"/>
      <c r="L77" s="764"/>
      <c r="M77" s="764"/>
      <c r="N77" s="764"/>
      <c r="O77" s="764"/>
    </row>
    <row r="78" spans="1:15" ht="24.75" customHeight="1">
      <c r="A78" s="763"/>
      <c r="B78" s="763"/>
      <c r="C78" s="755"/>
      <c r="D78" s="756"/>
      <c r="E78" s="756"/>
      <c r="F78" s="757"/>
      <c r="G78" s="758"/>
      <c r="H78" s="759"/>
      <c r="I78" s="759"/>
      <c r="J78" s="759"/>
      <c r="K78" s="759"/>
      <c r="L78" s="764"/>
      <c r="M78" s="764"/>
      <c r="N78" s="764"/>
      <c r="O78" s="764"/>
    </row>
    <row r="79" spans="1:15" ht="24.75" customHeight="1">
      <c r="A79" s="763"/>
      <c r="B79" s="763"/>
      <c r="C79" s="755"/>
      <c r="D79" s="756"/>
      <c r="E79" s="756"/>
      <c r="F79" s="757"/>
      <c r="G79" s="758"/>
      <c r="H79" s="759"/>
      <c r="I79" s="759"/>
      <c r="J79" s="759"/>
      <c r="K79" s="759"/>
      <c r="L79" s="764"/>
      <c r="M79" s="764"/>
      <c r="N79" s="764"/>
      <c r="O79" s="764"/>
    </row>
    <row r="80" spans="1:15" ht="24.75" customHeight="1">
      <c r="A80" s="763"/>
      <c r="B80" s="763"/>
      <c r="C80" s="755"/>
      <c r="D80" s="756"/>
      <c r="E80" s="756"/>
      <c r="F80" s="757"/>
      <c r="G80" s="758"/>
      <c r="H80" s="759"/>
      <c r="I80" s="759"/>
      <c r="J80" s="759"/>
      <c r="K80" s="759"/>
      <c r="L80" s="764"/>
      <c r="M80" s="764"/>
      <c r="N80" s="764"/>
      <c r="O80" s="764"/>
    </row>
    <row r="81" spans="1:15" ht="24.75" customHeight="1">
      <c r="A81" s="763"/>
      <c r="B81" s="763"/>
      <c r="C81" s="755"/>
      <c r="D81" s="756"/>
      <c r="E81" s="756"/>
      <c r="F81" s="757"/>
      <c r="G81" s="758"/>
      <c r="H81" s="759"/>
      <c r="I81" s="759"/>
      <c r="J81" s="759"/>
      <c r="K81" s="759"/>
      <c r="L81" s="764"/>
      <c r="M81" s="764"/>
      <c r="N81" s="764"/>
      <c r="O81" s="764"/>
    </row>
    <row r="82" spans="1:15" ht="24.75" customHeight="1">
      <c r="A82" s="763"/>
      <c r="B82" s="763"/>
      <c r="C82" s="755"/>
      <c r="D82" s="756"/>
      <c r="E82" s="756"/>
      <c r="F82" s="757"/>
      <c r="G82" s="758"/>
      <c r="H82" s="759"/>
      <c r="I82" s="759"/>
      <c r="J82" s="759"/>
      <c r="K82" s="759"/>
      <c r="L82" s="764"/>
      <c r="M82" s="764"/>
      <c r="N82" s="764"/>
      <c r="O82" s="764"/>
    </row>
    <row r="83" spans="1:15" ht="25.5" customHeight="1">
      <c r="A83" s="763"/>
      <c r="B83" s="763"/>
      <c r="C83" s="755"/>
      <c r="D83" s="756"/>
      <c r="E83" s="756"/>
      <c r="F83" s="757"/>
      <c r="G83" s="758"/>
      <c r="H83" s="759"/>
      <c r="I83" s="759"/>
      <c r="J83" s="759"/>
      <c r="K83" s="759"/>
      <c r="L83" s="764"/>
      <c r="M83" s="764"/>
      <c r="N83" s="764"/>
      <c r="O83" s="764"/>
    </row>
    <row r="84" spans="1:15">
      <c r="A84" s="765" t="s">
        <v>453</v>
      </c>
      <c r="B84" s="765"/>
      <c r="C84" s="765"/>
      <c r="D84" s="765"/>
      <c r="E84" s="765"/>
      <c r="F84" s="765"/>
      <c r="G84" s="765"/>
      <c r="H84" s="765"/>
      <c r="I84" s="765"/>
      <c r="J84" s="765"/>
      <c r="K84" s="765"/>
      <c r="L84" s="765"/>
      <c r="M84" s="765"/>
      <c r="N84" s="765"/>
      <c r="O84" s="765"/>
    </row>
    <row r="85" spans="1:15" ht="18" customHeight="1"/>
    <row r="86" spans="1:15" ht="18" customHeight="1"/>
    <row r="87" spans="1:15" ht="18" customHeight="1"/>
    <row r="88" spans="1:15" ht="30.75" customHeight="1"/>
    <row r="89" spans="1:15" ht="15.75" customHeight="1"/>
    <row r="91" spans="1:15" ht="28.5" customHeight="1"/>
    <row r="92" spans="1:15" ht="18" customHeight="1"/>
    <row r="94" spans="1:15" ht="30.75" customHeight="1"/>
  </sheetData>
  <sheetProtection selectLockedCells="1"/>
  <mergeCells count="276">
    <mergeCell ref="A83:B83"/>
    <mergeCell ref="C83:F83"/>
    <mergeCell ref="G83:K83"/>
    <mergeCell ref="L83:O83"/>
    <mergeCell ref="A84:O84"/>
    <mergeCell ref="L31:L32"/>
    <mergeCell ref="A16:B17"/>
    <mergeCell ref="C16:F17"/>
    <mergeCell ref="L16:O17"/>
    <mergeCell ref="G16:K17"/>
    <mergeCell ref="A31:B32"/>
    <mergeCell ref="C31:F32"/>
    <mergeCell ref="M31:O32"/>
    <mergeCell ref="A80:B80"/>
    <mergeCell ref="C80:F80"/>
    <mergeCell ref="G80:K80"/>
    <mergeCell ref="L80:O80"/>
    <mergeCell ref="A81:B81"/>
    <mergeCell ref="C81:F81"/>
    <mergeCell ref="G81:K81"/>
    <mergeCell ref="L81:O81"/>
    <mergeCell ref="A82:B82"/>
    <mergeCell ref="C82:F82"/>
    <mergeCell ref="G82:K82"/>
    <mergeCell ref="L82:O82"/>
    <mergeCell ref="A77:B77"/>
    <mergeCell ref="C77:F77"/>
    <mergeCell ref="G77:K77"/>
    <mergeCell ref="L77:O77"/>
    <mergeCell ref="A78:B78"/>
    <mergeCell ref="C78:F78"/>
    <mergeCell ref="G78:K78"/>
    <mergeCell ref="L78:O78"/>
    <mergeCell ref="A79:B79"/>
    <mergeCell ref="C79:F79"/>
    <mergeCell ref="G79:K79"/>
    <mergeCell ref="L79:O79"/>
    <mergeCell ref="A74:B74"/>
    <mergeCell ref="C74:F74"/>
    <mergeCell ref="G74:K74"/>
    <mergeCell ref="L74:O74"/>
    <mergeCell ref="A75:B75"/>
    <mergeCell ref="C75:F75"/>
    <mergeCell ref="G75:K75"/>
    <mergeCell ref="L75:O75"/>
    <mergeCell ref="A76:B76"/>
    <mergeCell ref="C76:F76"/>
    <mergeCell ref="G76:K76"/>
    <mergeCell ref="L76:O76"/>
    <mergeCell ref="A71:B71"/>
    <mergeCell ref="C71:F71"/>
    <mergeCell ref="G71:K71"/>
    <mergeCell ref="L71:O71"/>
    <mergeCell ref="A72:B72"/>
    <mergeCell ref="C72:F72"/>
    <mergeCell ref="G72:K72"/>
    <mergeCell ref="L72:O72"/>
    <mergeCell ref="A73:B73"/>
    <mergeCell ref="C73:F73"/>
    <mergeCell ref="G73:K73"/>
    <mergeCell ref="L73:O73"/>
    <mergeCell ref="A68:B68"/>
    <mergeCell ref="C68:F68"/>
    <mergeCell ref="G68:K68"/>
    <mergeCell ref="L68:O68"/>
    <mergeCell ref="A69:B69"/>
    <mergeCell ref="C69:F69"/>
    <mergeCell ref="G69:K69"/>
    <mergeCell ref="L69:O69"/>
    <mergeCell ref="A70:B70"/>
    <mergeCell ref="C70:F70"/>
    <mergeCell ref="G70:K70"/>
    <mergeCell ref="L70:O70"/>
    <mergeCell ref="A65:B65"/>
    <mergeCell ref="C65:F65"/>
    <mergeCell ref="G65:K65"/>
    <mergeCell ref="L65:O65"/>
    <mergeCell ref="A66:B66"/>
    <mergeCell ref="C66:F66"/>
    <mergeCell ref="G66:K66"/>
    <mergeCell ref="L66:O66"/>
    <mergeCell ref="A67:B67"/>
    <mergeCell ref="C67:F67"/>
    <mergeCell ref="G67:K67"/>
    <mergeCell ref="L67:O67"/>
    <mergeCell ref="A62:B62"/>
    <mergeCell ref="C62:F62"/>
    <mergeCell ref="G62:K62"/>
    <mergeCell ref="L62:O62"/>
    <mergeCell ref="A63:B63"/>
    <mergeCell ref="C63:F63"/>
    <mergeCell ref="G63:K63"/>
    <mergeCell ref="L63:O63"/>
    <mergeCell ref="A64:B64"/>
    <mergeCell ref="C64:F64"/>
    <mergeCell ref="G64:K64"/>
    <mergeCell ref="L64:O64"/>
    <mergeCell ref="A59:B59"/>
    <mergeCell ref="C59:F59"/>
    <mergeCell ref="G59:K59"/>
    <mergeCell ref="M59:O59"/>
    <mergeCell ref="A60:B60"/>
    <mergeCell ref="C60:F60"/>
    <mergeCell ref="G60:K60"/>
    <mergeCell ref="M60:O60"/>
    <mergeCell ref="A61:B61"/>
    <mergeCell ref="C61:F61"/>
    <mergeCell ref="G61:K61"/>
    <mergeCell ref="M61:O61"/>
    <mergeCell ref="A56:B56"/>
    <mergeCell ref="C56:F56"/>
    <mergeCell ref="G56:K56"/>
    <mergeCell ref="M56:O56"/>
    <mergeCell ref="A57:B57"/>
    <mergeCell ref="C57:F57"/>
    <mergeCell ref="G57:K57"/>
    <mergeCell ref="M57:O57"/>
    <mergeCell ref="A58:B58"/>
    <mergeCell ref="C58:F58"/>
    <mergeCell ref="G58:K58"/>
    <mergeCell ref="M58:O58"/>
    <mergeCell ref="A53:B53"/>
    <mergeCell ref="C53:F53"/>
    <mergeCell ref="G53:K53"/>
    <mergeCell ref="M53:O53"/>
    <mergeCell ref="A54:B54"/>
    <mergeCell ref="C54:F54"/>
    <mergeCell ref="G54:K54"/>
    <mergeCell ref="M54:O54"/>
    <mergeCell ref="A55:B55"/>
    <mergeCell ref="C55:F55"/>
    <mergeCell ref="G55:K55"/>
    <mergeCell ref="M55:O55"/>
    <mergeCell ref="A50:B50"/>
    <mergeCell ref="C50:F50"/>
    <mergeCell ref="G50:K50"/>
    <mergeCell ref="M50:O50"/>
    <mergeCell ref="A51:B51"/>
    <mergeCell ref="C51:F51"/>
    <mergeCell ref="G51:K51"/>
    <mergeCell ref="M51:O51"/>
    <mergeCell ref="A52:B52"/>
    <mergeCell ref="C52:F52"/>
    <mergeCell ref="G52:K52"/>
    <mergeCell ref="M52:O52"/>
    <mergeCell ref="A47:B47"/>
    <mergeCell ref="C47:F47"/>
    <mergeCell ref="G47:K47"/>
    <mergeCell ref="M47:O47"/>
    <mergeCell ref="A48:B48"/>
    <mergeCell ref="C48:F48"/>
    <mergeCell ref="G48:K48"/>
    <mergeCell ref="M48:O48"/>
    <mergeCell ref="A49:B49"/>
    <mergeCell ref="C49:F49"/>
    <mergeCell ref="G49:K49"/>
    <mergeCell ref="M49:O49"/>
    <mergeCell ref="A44:B44"/>
    <mergeCell ref="C44:F44"/>
    <mergeCell ref="G44:K44"/>
    <mergeCell ref="M44:O44"/>
    <mergeCell ref="A45:B45"/>
    <mergeCell ref="C45:F45"/>
    <mergeCell ref="G45:K45"/>
    <mergeCell ref="M45:O45"/>
    <mergeCell ref="A46:B46"/>
    <mergeCell ref="C46:F46"/>
    <mergeCell ref="G46:K46"/>
    <mergeCell ref="M46:O46"/>
    <mergeCell ref="A41:B41"/>
    <mergeCell ref="C41:F41"/>
    <mergeCell ref="G41:K41"/>
    <mergeCell ref="M41:O41"/>
    <mergeCell ref="A42:B42"/>
    <mergeCell ref="C42:F42"/>
    <mergeCell ref="G42:K42"/>
    <mergeCell ref="M42:O42"/>
    <mergeCell ref="A43:B43"/>
    <mergeCell ref="C43:F43"/>
    <mergeCell ref="G43:K43"/>
    <mergeCell ref="M43:O43"/>
    <mergeCell ref="A38:B38"/>
    <mergeCell ref="C38:F38"/>
    <mergeCell ref="G38:K38"/>
    <mergeCell ref="M38:O38"/>
    <mergeCell ref="A39:B39"/>
    <mergeCell ref="C39:F39"/>
    <mergeCell ref="G39:K39"/>
    <mergeCell ref="M39:O39"/>
    <mergeCell ref="A40:B40"/>
    <mergeCell ref="C40:F40"/>
    <mergeCell ref="G40:K40"/>
    <mergeCell ref="M40:O40"/>
    <mergeCell ref="A35:B35"/>
    <mergeCell ref="C35:F35"/>
    <mergeCell ref="G35:K35"/>
    <mergeCell ref="M35:O35"/>
    <mergeCell ref="A36:B36"/>
    <mergeCell ref="C36:F36"/>
    <mergeCell ref="G36:K36"/>
    <mergeCell ref="M36:O36"/>
    <mergeCell ref="A37:B37"/>
    <mergeCell ref="C37:F37"/>
    <mergeCell ref="G37:K37"/>
    <mergeCell ref="M37:O37"/>
    <mergeCell ref="G32:K32"/>
    <mergeCell ref="A33:B33"/>
    <mergeCell ref="C33:F33"/>
    <mergeCell ref="G33:K33"/>
    <mergeCell ref="M33:O33"/>
    <mergeCell ref="A34:B34"/>
    <mergeCell ref="C34:F34"/>
    <mergeCell ref="G34:K34"/>
    <mergeCell ref="M34:O34"/>
    <mergeCell ref="A23:O23"/>
    <mergeCell ref="A24:O24"/>
    <mergeCell ref="A25:O25"/>
    <mergeCell ref="A26:O26"/>
    <mergeCell ref="A27:O27"/>
    <mergeCell ref="A28:O28"/>
    <mergeCell ref="A29:O29"/>
    <mergeCell ref="A30:O30"/>
    <mergeCell ref="G31:K31"/>
    <mergeCell ref="A20:B20"/>
    <mergeCell ref="C20:F20"/>
    <mergeCell ref="G20:K20"/>
    <mergeCell ref="L20:O20"/>
    <mergeCell ref="A21:B21"/>
    <mergeCell ref="C21:F21"/>
    <mergeCell ref="G21:K21"/>
    <mergeCell ref="L21:O21"/>
    <mergeCell ref="A22:B22"/>
    <mergeCell ref="C22:F22"/>
    <mergeCell ref="G22:K22"/>
    <mergeCell ref="L22:O22"/>
    <mergeCell ref="B14:C14"/>
    <mergeCell ref="D14:O14"/>
    <mergeCell ref="A15:O15"/>
    <mergeCell ref="A18:B18"/>
    <mergeCell ref="C18:F18"/>
    <mergeCell ref="G18:K18"/>
    <mergeCell ref="L18:O18"/>
    <mergeCell ref="A19:B19"/>
    <mergeCell ref="C19:F19"/>
    <mergeCell ref="G19:K19"/>
    <mergeCell ref="L19:O19"/>
    <mergeCell ref="B10:C10"/>
    <mergeCell ref="D10:F10"/>
    <mergeCell ref="G10:J10"/>
    <mergeCell ref="K10:O10"/>
    <mergeCell ref="B11:C11"/>
    <mergeCell ref="D11:O11"/>
    <mergeCell ref="B12:C12"/>
    <mergeCell ref="D12:O12"/>
    <mergeCell ref="B13:C13"/>
    <mergeCell ref="D13:O13"/>
    <mergeCell ref="B6:C6"/>
    <mergeCell ref="D6:O6"/>
    <mergeCell ref="B7:C7"/>
    <mergeCell ref="D7:O7"/>
    <mergeCell ref="B8:C8"/>
    <mergeCell ref="D8:G8"/>
    <mergeCell ref="B9:C9"/>
    <mergeCell ref="D9:F9"/>
    <mergeCell ref="H9:J9"/>
    <mergeCell ref="A1:O1"/>
    <mergeCell ref="B2:C2"/>
    <mergeCell ref="B3:C3"/>
    <mergeCell ref="D3:O3"/>
    <mergeCell ref="B4:C4"/>
    <mergeCell ref="D4:O4"/>
    <mergeCell ref="B5:C5"/>
    <mergeCell ref="D5:H5"/>
    <mergeCell ref="I5:K5"/>
    <mergeCell ref="L5:O5"/>
    <mergeCell ref="D2:O2"/>
  </mergeCells>
  <dataValidations count="1">
    <dataValidation type="list" sqref="G40:K40 G41:K41 G42:J42 I52 G55:K55 G56 K56 G61:I61 K61 G49:G54 G33:K39 G43:K48 G57:K60" xr:uid="{00000000-0002-0000-0500-000000000000}">
      <formula1>"□,☑,N/A"</formula1>
    </dataValidation>
  </dataValidations>
  <hyperlinks>
    <hyperlink ref="P1" location="'Index '!A1" display="Index" xr:uid="{00000000-0004-0000-0500-000000000000}"/>
  </hyperlinks>
  <pageMargins left="0.62992125984252001" right="0.27559055118110198" top="1.02362204724409" bottom="0.74803149606299202" header="0.31496062992126" footer="0.31496062992126"/>
  <pageSetup paperSize="9" scale="75" fitToHeight="0" pageOrder="overThenDown" orientation="portrait"/>
  <headerFooter>
    <oddHeader>&amp;L&amp;G</oddHeader>
    <oddFooter>&amp;CPage &amp;P</oddFooter>
  </headerFooter>
  <legacyDrawingHF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LIST!$A$30:$A$34</xm:f>
          </x14:formula1>
          <xm:sqref>C19:C22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P37"/>
  <sheetViews>
    <sheetView showGridLines="0" zoomScale="70" zoomScaleNormal="70" workbookViewId="0">
      <selection activeCell="Q7" sqref="Q7"/>
    </sheetView>
  </sheetViews>
  <sheetFormatPr defaultColWidth="11" defaultRowHeight="15"/>
  <cols>
    <col min="1" max="1" width="5" style="3" customWidth="1"/>
    <col min="2" max="2" width="13.625" style="3" customWidth="1"/>
    <col min="3" max="3" width="2.5" style="3" customWidth="1"/>
    <col min="4" max="4" width="4.625" style="3" customWidth="1"/>
    <col min="5" max="5" width="7" style="3" customWidth="1"/>
    <col min="6" max="6" width="8.125" style="3" customWidth="1"/>
    <col min="7" max="7" width="5.5" style="3" customWidth="1"/>
    <col min="8" max="8" width="4.125" style="3" customWidth="1"/>
    <col min="9" max="9" width="3.875" style="3" customWidth="1"/>
    <col min="10" max="11" width="3.625" style="3" customWidth="1"/>
    <col min="12" max="12" width="12.125" style="3" customWidth="1"/>
    <col min="13" max="13" width="5.125" style="3" customWidth="1"/>
    <col min="14" max="14" width="3.625" style="3" customWidth="1"/>
    <col min="15" max="15" width="9.125" style="3" customWidth="1"/>
    <col min="16" max="16384" width="11" style="3"/>
  </cols>
  <sheetData>
    <row r="1" spans="1:16" ht="27.75" customHeight="1">
      <c r="A1" s="789" t="s">
        <v>454</v>
      </c>
      <c r="B1" s="789"/>
      <c r="C1" s="789"/>
      <c r="D1" s="789"/>
      <c r="E1" s="789"/>
      <c r="F1" s="790"/>
      <c r="G1" s="790"/>
      <c r="H1" s="790"/>
      <c r="I1" s="790"/>
      <c r="J1" s="789"/>
      <c r="K1" s="789"/>
      <c r="L1" s="790"/>
      <c r="M1" s="790"/>
      <c r="N1" s="790"/>
      <c r="O1" s="790"/>
      <c r="P1" s="27" t="s">
        <v>48</v>
      </c>
    </row>
    <row r="2" spans="1:16" ht="23.25" customHeight="1">
      <c r="A2" s="723" t="s">
        <v>455</v>
      </c>
      <c r="B2" s="727"/>
      <c r="C2" s="727"/>
      <c r="D2" s="727"/>
      <c r="E2" s="727"/>
      <c r="F2" s="791" t="str">
        <f>'F03 App Rev &amp; F03-01 Aud Pln'!A30</f>
        <v xml:space="preserve"> </v>
      </c>
      <c r="G2" s="791"/>
      <c r="H2" s="791"/>
      <c r="I2" s="791"/>
      <c r="J2" s="792"/>
      <c r="K2" s="792"/>
      <c r="L2" s="791" t="str">
        <f>('F03 App Rev &amp; F03-01 Aud Pln'!C30)</f>
        <v xml:space="preserve"> </v>
      </c>
      <c r="M2" s="791"/>
      <c r="N2" s="791"/>
      <c r="O2" s="791"/>
    </row>
    <row r="3" spans="1:16" ht="21" customHeight="1">
      <c r="A3" s="793" t="s">
        <v>312</v>
      </c>
      <c r="B3" s="794"/>
      <c r="C3" s="794"/>
      <c r="D3" s="794"/>
      <c r="E3" s="795"/>
      <c r="F3" s="796" t="str">
        <f>'F03 App Rev &amp; F03-01 Aud Pln'!B8</f>
        <v xml:space="preserve"> </v>
      </c>
      <c r="G3" s="797"/>
      <c r="H3" s="797"/>
      <c r="I3" s="797"/>
      <c r="J3" s="798"/>
      <c r="K3" s="798"/>
      <c r="L3" s="797"/>
      <c r="M3" s="797"/>
      <c r="N3" s="797"/>
      <c r="O3" s="799"/>
    </row>
    <row r="4" spans="1:16" ht="18" customHeight="1">
      <c r="A4" s="800" t="s">
        <v>456</v>
      </c>
      <c r="B4" s="800"/>
      <c r="C4" s="800"/>
      <c r="D4" s="800"/>
      <c r="E4" s="800"/>
      <c r="F4" s="800"/>
      <c r="G4" s="800"/>
      <c r="H4" s="800"/>
      <c r="I4" s="800"/>
      <c r="J4" s="800"/>
      <c r="K4" s="800"/>
      <c r="L4" s="800"/>
      <c r="M4" s="800"/>
      <c r="N4" s="800"/>
      <c r="O4" s="800"/>
    </row>
    <row r="5" spans="1:16" ht="18" customHeight="1">
      <c r="A5" s="801" t="s">
        <v>457</v>
      </c>
      <c r="B5" s="801" t="s">
        <v>346</v>
      </c>
      <c r="C5" s="801"/>
      <c r="D5" s="801"/>
      <c r="E5" s="801"/>
      <c r="F5" s="801" t="s">
        <v>458</v>
      </c>
      <c r="G5" s="801"/>
      <c r="H5" s="801"/>
      <c r="I5" s="801"/>
      <c r="J5" s="801" t="s">
        <v>423</v>
      </c>
      <c r="K5" s="801"/>
      <c r="L5" s="801"/>
      <c r="M5" s="801"/>
      <c r="N5" s="801"/>
      <c r="O5" s="801"/>
    </row>
    <row r="6" spans="1:16" ht="18" customHeight="1">
      <c r="A6" s="801"/>
      <c r="B6" s="801"/>
      <c r="C6" s="801"/>
      <c r="D6" s="801"/>
      <c r="E6" s="801"/>
      <c r="F6" s="801"/>
      <c r="G6" s="801"/>
      <c r="H6" s="801"/>
      <c r="I6" s="801"/>
      <c r="J6" s="802" t="s">
        <v>459</v>
      </c>
      <c r="K6" s="802"/>
      <c r="L6" s="802"/>
      <c r="M6" s="802" t="s">
        <v>460</v>
      </c>
      <c r="N6" s="802"/>
      <c r="O6" s="802"/>
    </row>
    <row r="7" spans="1:16" ht="27.75" customHeight="1">
      <c r="A7" s="29"/>
      <c r="B7" s="803"/>
      <c r="C7" s="803"/>
      <c r="D7" s="803"/>
      <c r="E7" s="803"/>
      <c r="F7" s="803"/>
      <c r="G7" s="803"/>
      <c r="H7" s="803"/>
      <c r="I7" s="803"/>
      <c r="J7" s="803" t="s">
        <v>461</v>
      </c>
      <c r="K7" s="803"/>
      <c r="L7" s="803"/>
      <c r="M7" s="803" t="s">
        <v>461</v>
      </c>
      <c r="N7" s="803"/>
      <c r="O7" s="803"/>
    </row>
    <row r="8" spans="1:16" ht="27.75" customHeight="1">
      <c r="A8" s="29"/>
      <c r="B8" s="803"/>
      <c r="C8" s="803"/>
      <c r="D8" s="803"/>
      <c r="E8" s="803"/>
      <c r="F8" s="803"/>
      <c r="G8" s="803"/>
      <c r="H8" s="803"/>
      <c r="I8" s="803"/>
      <c r="J8" s="803"/>
      <c r="K8" s="803"/>
      <c r="L8" s="803"/>
      <c r="M8" s="803"/>
      <c r="N8" s="803"/>
      <c r="O8" s="803"/>
    </row>
    <row r="9" spans="1:16" ht="27.75" customHeight="1">
      <c r="A9" s="29"/>
      <c r="B9" s="644"/>
      <c r="C9" s="804"/>
      <c r="D9" s="804"/>
      <c r="E9" s="805"/>
      <c r="F9" s="803"/>
      <c r="G9" s="803"/>
      <c r="H9" s="803"/>
      <c r="I9" s="803"/>
      <c r="J9" s="803"/>
      <c r="K9" s="803"/>
      <c r="L9" s="803"/>
      <c r="M9" s="803"/>
      <c r="N9" s="803"/>
      <c r="O9" s="803"/>
    </row>
    <row r="10" spans="1:16" ht="27.75" customHeight="1">
      <c r="A10" s="29"/>
      <c r="B10" s="803"/>
      <c r="C10" s="803"/>
      <c r="D10" s="803"/>
      <c r="E10" s="803"/>
      <c r="F10" s="803"/>
      <c r="G10" s="803"/>
      <c r="H10" s="803"/>
      <c r="I10" s="803"/>
      <c r="J10" s="803"/>
      <c r="K10" s="803"/>
      <c r="L10" s="803"/>
      <c r="M10" s="803"/>
      <c r="N10" s="803"/>
      <c r="O10" s="803"/>
    </row>
    <row r="11" spans="1:16" ht="27.75" customHeight="1">
      <c r="A11" s="29"/>
      <c r="B11" s="803"/>
      <c r="C11" s="803"/>
      <c r="D11" s="803"/>
      <c r="E11" s="803"/>
      <c r="F11" s="803"/>
      <c r="G11" s="803"/>
      <c r="H11" s="803"/>
      <c r="I11" s="803"/>
      <c r="J11" s="803"/>
      <c r="K11" s="803"/>
      <c r="L11" s="803"/>
      <c r="M11" s="803"/>
      <c r="N11" s="803"/>
      <c r="O11" s="803"/>
    </row>
    <row r="12" spans="1:16" ht="27.75" customHeight="1">
      <c r="A12" s="29"/>
      <c r="B12" s="803"/>
      <c r="C12" s="803"/>
      <c r="D12" s="803"/>
      <c r="E12" s="803"/>
      <c r="F12" s="803"/>
      <c r="G12" s="803"/>
      <c r="H12" s="803"/>
      <c r="I12" s="803"/>
      <c r="J12" s="803"/>
      <c r="K12" s="803"/>
      <c r="L12" s="803"/>
      <c r="M12" s="803"/>
      <c r="N12" s="803"/>
      <c r="O12" s="803"/>
    </row>
    <row r="13" spans="1:16" ht="27.75" customHeight="1">
      <c r="A13" s="29"/>
      <c r="B13" s="803"/>
      <c r="C13" s="803"/>
      <c r="D13" s="803"/>
      <c r="E13" s="803"/>
      <c r="F13" s="803"/>
      <c r="G13" s="803"/>
      <c r="H13" s="803"/>
      <c r="I13" s="803"/>
      <c r="J13" s="803"/>
      <c r="K13" s="803"/>
      <c r="L13" s="803"/>
      <c r="M13" s="803"/>
      <c r="N13" s="803"/>
      <c r="O13" s="803"/>
    </row>
    <row r="14" spans="1:16" ht="27.75" customHeight="1">
      <c r="A14" s="29"/>
      <c r="B14" s="803"/>
      <c r="C14" s="803"/>
      <c r="D14" s="803"/>
      <c r="E14" s="803"/>
      <c r="F14" s="803"/>
      <c r="G14" s="803"/>
      <c r="H14" s="803"/>
      <c r="I14" s="803"/>
      <c r="J14" s="803"/>
      <c r="K14" s="803"/>
      <c r="L14" s="803"/>
      <c r="M14" s="803"/>
      <c r="N14" s="803"/>
      <c r="O14" s="803"/>
    </row>
    <row r="15" spans="1:16" ht="27.75" customHeight="1">
      <c r="A15" s="29"/>
      <c r="B15" s="803"/>
      <c r="C15" s="803"/>
      <c r="D15" s="803"/>
      <c r="E15" s="803"/>
      <c r="F15" s="803"/>
      <c r="G15" s="803"/>
      <c r="H15" s="803"/>
      <c r="I15" s="803"/>
      <c r="J15" s="803"/>
      <c r="K15" s="803"/>
      <c r="L15" s="803"/>
      <c r="M15" s="803"/>
      <c r="N15" s="803"/>
      <c r="O15" s="803"/>
    </row>
    <row r="16" spans="1:16" ht="27.75" customHeight="1">
      <c r="A16" s="29"/>
      <c r="B16" s="803"/>
      <c r="C16" s="803"/>
      <c r="D16" s="803"/>
      <c r="E16" s="803"/>
      <c r="F16" s="803"/>
      <c r="G16" s="803"/>
      <c r="H16" s="803"/>
      <c r="I16" s="803"/>
      <c r="J16" s="803"/>
      <c r="K16" s="803"/>
      <c r="L16" s="803"/>
      <c r="M16" s="803"/>
      <c r="N16" s="803"/>
      <c r="O16" s="803"/>
    </row>
    <row r="17" spans="1:15" ht="27.75" customHeight="1">
      <c r="A17" s="29"/>
      <c r="B17" s="803"/>
      <c r="C17" s="803"/>
      <c r="D17" s="803"/>
      <c r="E17" s="803"/>
      <c r="F17" s="803"/>
      <c r="G17" s="803"/>
      <c r="H17" s="803"/>
      <c r="I17" s="803"/>
      <c r="J17" s="803"/>
      <c r="K17" s="803"/>
      <c r="L17" s="803"/>
      <c r="M17" s="803"/>
      <c r="N17" s="803"/>
      <c r="O17" s="803"/>
    </row>
    <row r="18" spans="1:15" ht="27.75" customHeight="1">
      <c r="A18" s="29"/>
      <c r="B18" s="803"/>
      <c r="C18" s="803"/>
      <c r="D18" s="803"/>
      <c r="E18" s="803"/>
      <c r="F18" s="803"/>
      <c r="G18" s="803"/>
      <c r="H18" s="803"/>
      <c r="I18" s="803"/>
      <c r="J18" s="803"/>
      <c r="K18" s="803"/>
      <c r="L18" s="803"/>
      <c r="M18" s="803"/>
      <c r="N18" s="803"/>
      <c r="O18" s="803"/>
    </row>
    <row r="19" spans="1:15" ht="27.75" customHeight="1">
      <c r="A19" s="29"/>
      <c r="B19" s="803"/>
      <c r="C19" s="803"/>
      <c r="D19" s="803"/>
      <c r="E19" s="803"/>
      <c r="F19" s="803"/>
      <c r="G19" s="803"/>
      <c r="H19" s="803"/>
      <c r="I19" s="803"/>
      <c r="J19" s="803"/>
      <c r="K19" s="803"/>
      <c r="L19" s="803"/>
      <c r="M19" s="803"/>
      <c r="N19" s="803"/>
      <c r="O19" s="803"/>
    </row>
    <row r="20" spans="1:15" ht="27.75" customHeight="1">
      <c r="A20" s="29"/>
      <c r="B20" s="803"/>
      <c r="C20" s="803"/>
      <c r="D20" s="803"/>
      <c r="E20" s="803"/>
      <c r="F20" s="803"/>
      <c r="G20" s="803"/>
      <c r="H20" s="803"/>
      <c r="I20" s="803"/>
      <c r="J20" s="803"/>
      <c r="K20" s="803"/>
      <c r="L20" s="803"/>
      <c r="M20" s="803"/>
      <c r="N20" s="803"/>
      <c r="O20" s="803"/>
    </row>
    <row r="21" spans="1:15" ht="27.75" customHeight="1">
      <c r="A21" s="29"/>
      <c r="B21" s="803"/>
      <c r="C21" s="803"/>
      <c r="D21" s="803"/>
      <c r="E21" s="803"/>
      <c r="F21" s="803"/>
      <c r="G21" s="803"/>
      <c r="H21" s="803"/>
      <c r="I21" s="803"/>
      <c r="J21" s="803"/>
      <c r="K21" s="803"/>
      <c r="L21" s="803"/>
      <c r="M21" s="803"/>
      <c r="N21" s="803"/>
      <c r="O21" s="803"/>
    </row>
    <row r="22" spans="1:15" ht="27.75" customHeight="1">
      <c r="A22" s="29"/>
      <c r="B22" s="803"/>
      <c r="C22" s="803"/>
      <c r="D22" s="803"/>
      <c r="E22" s="803"/>
      <c r="F22" s="803"/>
      <c r="G22" s="803"/>
      <c r="H22" s="803"/>
      <c r="I22" s="803"/>
      <c r="J22" s="803"/>
      <c r="K22" s="803"/>
      <c r="L22" s="803"/>
      <c r="M22" s="803"/>
      <c r="N22" s="803"/>
      <c r="O22" s="803"/>
    </row>
    <row r="23" spans="1:15" ht="27.75" customHeight="1">
      <c r="A23" s="29"/>
      <c r="B23" s="803"/>
      <c r="C23" s="803"/>
      <c r="D23" s="803"/>
      <c r="E23" s="803"/>
      <c r="F23" s="803"/>
      <c r="G23" s="803"/>
      <c r="H23" s="803"/>
      <c r="I23" s="803"/>
      <c r="J23" s="803"/>
      <c r="K23" s="803"/>
      <c r="L23" s="803"/>
      <c r="M23" s="803"/>
      <c r="N23" s="803"/>
      <c r="O23" s="803"/>
    </row>
    <row r="24" spans="1:15" ht="27.75" customHeight="1">
      <c r="A24" s="29"/>
      <c r="B24" s="803"/>
      <c r="C24" s="803"/>
      <c r="D24" s="803"/>
      <c r="E24" s="803"/>
      <c r="F24" s="803"/>
      <c r="G24" s="803"/>
      <c r="H24" s="803"/>
      <c r="I24" s="803"/>
      <c r="J24" s="803"/>
      <c r="K24" s="803"/>
      <c r="L24" s="803"/>
      <c r="M24" s="803"/>
      <c r="N24" s="803"/>
      <c r="O24" s="803"/>
    </row>
    <row r="25" spans="1:15" ht="27.75" customHeight="1">
      <c r="A25" s="29"/>
      <c r="B25" s="803"/>
      <c r="C25" s="803"/>
      <c r="D25" s="803"/>
      <c r="E25" s="803"/>
      <c r="F25" s="803"/>
      <c r="G25" s="803"/>
      <c r="H25" s="803"/>
      <c r="I25" s="803"/>
      <c r="J25" s="803"/>
      <c r="K25" s="803"/>
      <c r="L25" s="803"/>
      <c r="M25" s="803"/>
      <c r="N25" s="803"/>
      <c r="O25" s="803"/>
    </row>
    <row r="26" spans="1:15" ht="27.75" customHeight="1">
      <c r="A26" s="29"/>
      <c r="B26" s="803"/>
      <c r="C26" s="803"/>
      <c r="D26" s="803"/>
      <c r="E26" s="803"/>
      <c r="F26" s="803"/>
      <c r="G26" s="803"/>
      <c r="H26" s="803"/>
      <c r="I26" s="803"/>
      <c r="J26" s="803"/>
      <c r="K26" s="803"/>
      <c r="L26" s="803"/>
      <c r="M26" s="803"/>
      <c r="N26" s="803"/>
      <c r="O26" s="803"/>
    </row>
    <row r="27" spans="1:15" ht="27.75" customHeight="1">
      <c r="A27" s="29"/>
      <c r="B27" s="803"/>
      <c r="C27" s="803"/>
      <c r="D27" s="803"/>
      <c r="E27" s="803"/>
      <c r="F27" s="803"/>
      <c r="G27" s="803"/>
      <c r="H27" s="803"/>
      <c r="I27" s="803"/>
      <c r="J27" s="803"/>
      <c r="K27" s="803"/>
      <c r="L27" s="803"/>
      <c r="M27" s="803"/>
      <c r="N27" s="803"/>
      <c r="O27" s="803"/>
    </row>
    <row r="28" spans="1:15">
      <c r="A28" s="660" t="s">
        <v>462</v>
      </c>
      <c r="B28" s="660"/>
      <c r="C28" s="660"/>
      <c r="D28" s="660"/>
      <c r="E28" s="660"/>
      <c r="F28" s="660"/>
      <c r="G28" s="660"/>
      <c r="H28" s="660"/>
      <c r="I28" s="660"/>
      <c r="J28" s="660"/>
      <c r="K28" s="660"/>
      <c r="L28" s="660"/>
      <c r="M28" s="660"/>
      <c r="N28" s="660"/>
      <c r="O28" s="660"/>
    </row>
    <row r="29" spans="1:15" ht="18" customHeight="1"/>
    <row r="30" spans="1:15" ht="18" customHeight="1"/>
    <row r="31" spans="1:15" ht="30.75" customHeight="1"/>
    <row r="32" spans="1:15" ht="15.75" customHeight="1"/>
    <row r="34" ht="28.5" customHeight="1"/>
    <row r="35" ht="18" customHeight="1"/>
    <row r="37" ht="30.75" customHeight="1"/>
  </sheetData>
  <sheetProtection selectLockedCells="1"/>
  <mergeCells count="99">
    <mergeCell ref="B27:E27"/>
    <mergeCell ref="F27:I27"/>
    <mergeCell ref="J27:L27"/>
    <mergeCell ref="M27:O27"/>
    <mergeCell ref="A28:O28"/>
    <mergeCell ref="B25:E25"/>
    <mergeCell ref="F25:I25"/>
    <mergeCell ref="J25:L25"/>
    <mergeCell ref="M25:O25"/>
    <mergeCell ref="B26:E26"/>
    <mergeCell ref="F26:I26"/>
    <mergeCell ref="J26:L26"/>
    <mergeCell ref="M26:O26"/>
    <mergeCell ref="B23:E23"/>
    <mergeCell ref="F23:I23"/>
    <mergeCell ref="J23:L23"/>
    <mergeCell ref="M23:O23"/>
    <mergeCell ref="B24:E24"/>
    <mergeCell ref="F24:I24"/>
    <mergeCell ref="J24:L24"/>
    <mergeCell ref="M24:O24"/>
    <mergeCell ref="B21:E21"/>
    <mergeCell ref="F21:I21"/>
    <mergeCell ref="J21:L21"/>
    <mergeCell ref="M21:O21"/>
    <mergeCell ref="B22:E22"/>
    <mergeCell ref="F22:I22"/>
    <mergeCell ref="J22:L22"/>
    <mergeCell ref="M22:O22"/>
    <mergeCell ref="B19:E19"/>
    <mergeCell ref="F19:I19"/>
    <mergeCell ref="J19:L19"/>
    <mergeCell ref="M19:O19"/>
    <mergeCell ref="B20:E20"/>
    <mergeCell ref="F20:I20"/>
    <mergeCell ref="J20:L20"/>
    <mergeCell ref="M20:O20"/>
    <mergeCell ref="B17:E17"/>
    <mergeCell ref="F17:I17"/>
    <mergeCell ref="J17:L17"/>
    <mergeCell ref="M17:O17"/>
    <mergeCell ref="B18:E18"/>
    <mergeCell ref="F18:I18"/>
    <mergeCell ref="J18:L18"/>
    <mergeCell ref="M18:O18"/>
    <mergeCell ref="B15:E15"/>
    <mergeCell ref="F15:I15"/>
    <mergeCell ref="J15:L15"/>
    <mergeCell ref="M15:O15"/>
    <mergeCell ref="B16:E16"/>
    <mergeCell ref="F16:I16"/>
    <mergeCell ref="J16:L16"/>
    <mergeCell ref="M16:O16"/>
    <mergeCell ref="B13:E13"/>
    <mergeCell ref="F13:I13"/>
    <mergeCell ref="J13:L13"/>
    <mergeCell ref="M13:O13"/>
    <mergeCell ref="B14:E14"/>
    <mergeCell ref="F14:I14"/>
    <mergeCell ref="J14:L14"/>
    <mergeCell ref="M14:O14"/>
    <mergeCell ref="B11:E11"/>
    <mergeCell ref="F11:I11"/>
    <mergeCell ref="J11:L11"/>
    <mergeCell ref="M11:O11"/>
    <mergeCell ref="B12:E12"/>
    <mergeCell ref="F12:I12"/>
    <mergeCell ref="J12:L12"/>
    <mergeCell ref="M12:O12"/>
    <mergeCell ref="B9:E9"/>
    <mergeCell ref="F9:I9"/>
    <mergeCell ref="J9:L9"/>
    <mergeCell ref="M9:O9"/>
    <mergeCell ref="B10:E10"/>
    <mergeCell ref="F10:I10"/>
    <mergeCell ref="J10:L10"/>
    <mergeCell ref="M10:O10"/>
    <mergeCell ref="B7:E7"/>
    <mergeCell ref="F7:I7"/>
    <mergeCell ref="J7:L7"/>
    <mergeCell ref="M7:O7"/>
    <mergeCell ref="B8:E8"/>
    <mergeCell ref="F8:I8"/>
    <mergeCell ref="J8:L8"/>
    <mergeCell ref="M8:O8"/>
    <mergeCell ref="A3:E3"/>
    <mergeCell ref="F3:O3"/>
    <mergeCell ref="A4:O4"/>
    <mergeCell ref="J5:O5"/>
    <mergeCell ref="J6:L6"/>
    <mergeCell ref="M6:O6"/>
    <mergeCell ref="A5:A6"/>
    <mergeCell ref="B5:E6"/>
    <mergeCell ref="F5:I6"/>
    <mergeCell ref="A1:O1"/>
    <mergeCell ref="A2:E2"/>
    <mergeCell ref="F2:I2"/>
    <mergeCell ref="J2:K2"/>
    <mergeCell ref="L2:O2"/>
  </mergeCells>
  <hyperlinks>
    <hyperlink ref="P1" location="'Index '!A1" display="Index" xr:uid="{00000000-0004-0000-0600-000000000000}"/>
  </hyperlinks>
  <pageMargins left="0.62992125984252001" right="0.27559055118110198" top="1.02362204724409" bottom="0.74803149606299202" header="0.31496062992126" footer="0.31496062992126"/>
  <pageSetup paperSize="9" scale="89" fitToHeight="0" pageOrder="overThenDown" orientation="portrait"/>
  <headerFooter>
    <oddHeader>&amp;L&amp;G</oddHeader>
    <oddFooter>&amp;CPage &amp;P</oddFoot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P135"/>
  <sheetViews>
    <sheetView showGridLines="0" topLeftCell="A94" zoomScale="80" zoomScaleNormal="80" workbookViewId="0">
      <selection activeCell="K105" sqref="K105"/>
    </sheetView>
  </sheetViews>
  <sheetFormatPr defaultColWidth="11" defaultRowHeight="15"/>
  <cols>
    <col min="1" max="1" width="13.75" style="117" customWidth="1"/>
    <col min="2" max="2" width="30.125" style="117" customWidth="1"/>
    <col min="3" max="3" width="11.875" style="117" customWidth="1"/>
    <col min="4" max="4" width="23.25" style="117" customWidth="1"/>
    <col min="5" max="5" width="12.5" style="117" customWidth="1"/>
    <col min="6" max="6" width="14.625" style="117" customWidth="1"/>
    <col min="7" max="7" width="14.25" style="117" customWidth="1"/>
    <col min="8" max="8" width="20.625" style="117" customWidth="1"/>
    <col min="9" max="9" width="14.625" style="117" customWidth="1"/>
    <col min="10" max="10" width="14" style="117" customWidth="1"/>
    <col min="11" max="11" width="14.875" style="117" customWidth="1"/>
    <col min="12" max="12" width="13.875" style="117" customWidth="1"/>
    <col min="13" max="13" width="14.125" style="117" customWidth="1"/>
    <col min="14" max="14" width="7.125" style="117" customWidth="1"/>
    <col min="15" max="15" width="0.25" style="117" customWidth="1"/>
    <col min="16" max="16384" width="11" style="117"/>
  </cols>
  <sheetData>
    <row r="1" spans="1:15" ht="23.25" customHeight="1">
      <c r="A1" s="809" t="s">
        <v>463</v>
      </c>
      <c r="B1" s="809"/>
      <c r="C1" s="809"/>
      <c r="D1" s="809"/>
      <c r="E1" s="809"/>
      <c r="F1" s="809"/>
      <c r="G1" s="809"/>
      <c r="H1" s="809"/>
      <c r="I1" s="809"/>
      <c r="J1" s="809"/>
      <c r="K1" s="119"/>
      <c r="L1" s="119"/>
      <c r="M1" s="119"/>
      <c r="N1" s="119"/>
      <c r="O1" s="119"/>
    </row>
    <row r="2" spans="1:15" ht="18" customHeight="1">
      <c r="A2" s="810" t="s">
        <v>464</v>
      </c>
      <c r="B2" s="810"/>
      <c r="C2" s="810"/>
      <c r="D2" s="810"/>
      <c r="E2" s="810"/>
      <c r="F2" s="810"/>
      <c r="G2" s="810"/>
      <c r="H2" s="810"/>
      <c r="I2" s="810"/>
      <c r="J2" s="810"/>
      <c r="K2" s="119"/>
      <c r="L2" s="119"/>
      <c r="M2" s="119"/>
      <c r="N2" s="119"/>
      <c r="O2" s="119"/>
    </row>
    <row r="3" spans="1:15" ht="18" customHeight="1">
      <c r="A3" s="110"/>
      <c r="B3" s="110"/>
      <c r="C3" s="110"/>
      <c r="D3" s="110"/>
      <c r="E3" s="110"/>
      <c r="F3" s="110"/>
      <c r="G3" s="110"/>
      <c r="H3" s="110"/>
      <c r="I3" s="110"/>
      <c r="J3" s="110"/>
      <c r="K3" s="119"/>
      <c r="L3" s="119"/>
      <c r="M3" s="119"/>
      <c r="N3" s="119"/>
      <c r="O3" s="119"/>
    </row>
    <row r="4" spans="1:15" ht="33" customHeight="1">
      <c r="A4" s="811" t="s">
        <v>465</v>
      </c>
      <c r="B4" s="811"/>
      <c r="C4" s="811"/>
      <c r="D4" s="811"/>
      <c r="E4" s="811"/>
      <c r="F4" s="811"/>
      <c r="G4" s="811"/>
      <c r="H4" s="811"/>
      <c r="I4" s="811"/>
      <c r="J4" s="811"/>
      <c r="K4" s="119"/>
      <c r="L4" s="119"/>
      <c r="M4" s="119"/>
      <c r="N4" s="119"/>
      <c r="O4" s="119"/>
    </row>
    <row r="5" spans="1:15" ht="38.1" customHeight="1">
      <c r="A5" s="120" t="s">
        <v>466</v>
      </c>
      <c r="B5" s="120" t="s">
        <v>426</v>
      </c>
      <c r="C5" s="812" t="s">
        <v>467</v>
      </c>
      <c r="D5" s="812" t="s">
        <v>467</v>
      </c>
      <c r="E5" s="812" t="s">
        <v>467</v>
      </c>
      <c r="F5" s="122" t="s">
        <v>468</v>
      </c>
      <c r="G5" s="122" t="s">
        <v>469</v>
      </c>
      <c r="H5" s="813" t="s">
        <v>470</v>
      </c>
      <c r="I5" s="813" t="s">
        <v>467</v>
      </c>
      <c r="J5" s="813" t="s">
        <v>467</v>
      </c>
      <c r="K5" s="119"/>
      <c r="L5" s="119"/>
      <c r="M5" s="119"/>
      <c r="N5" s="119"/>
      <c r="O5" s="119"/>
    </row>
    <row r="6" spans="1:15" ht="36" customHeight="1">
      <c r="A6" s="120" t="s">
        <v>471</v>
      </c>
      <c r="B6" s="120" t="s">
        <v>310</v>
      </c>
      <c r="C6" s="812" t="s">
        <v>467</v>
      </c>
      <c r="D6" s="812" t="s">
        <v>467</v>
      </c>
      <c r="E6" s="812" t="s">
        <v>467</v>
      </c>
      <c r="F6" s="120" t="s">
        <v>63</v>
      </c>
      <c r="G6" s="121" t="s">
        <v>472</v>
      </c>
      <c r="H6" s="120" t="s">
        <v>473</v>
      </c>
      <c r="I6" s="812" t="s">
        <v>325</v>
      </c>
      <c r="J6" s="812" t="s">
        <v>467</v>
      </c>
      <c r="K6" s="119"/>
      <c r="L6" s="119"/>
      <c r="M6" s="119"/>
      <c r="N6" s="119"/>
      <c r="O6" s="119"/>
    </row>
    <row r="7" spans="1:15" ht="83.1" customHeight="1">
      <c r="A7" s="120" t="s">
        <v>474</v>
      </c>
      <c r="B7" s="120" t="s">
        <v>311</v>
      </c>
      <c r="C7" s="812" t="s">
        <v>467</v>
      </c>
      <c r="D7" s="812" t="s">
        <v>467</v>
      </c>
      <c r="E7" s="812" t="s">
        <v>467</v>
      </c>
      <c r="F7" s="120"/>
      <c r="G7" s="121"/>
      <c r="H7" s="120" t="s">
        <v>320</v>
      </c>
      <c r="I7" s="812" t="s">
        <v>467</v>
      </c>
      <c r="J7" s="812" t="s">
        <v>467</v>
      </c>
      <c r="K7" s="119"/>
      <c r="L7" s="119"/>
      <c r="M7" s="119"/>
      <c r="N7" s="119"/>
      <c r="O7" s="119"/>
    </row>
    <row r="8" spans="1:15" ht="27.75" customHeight="1">
      <c r="A8" s="120" t="s">
        <v>475</v>
      </c>
      <c r="B8" s="120" t="s">
        <v>55</v>
      </c>
      <c r="C8" s="812" t="s">
        <v>467</v>
      </c>
      <c r="D8" s="812" t="s">
        <v>467</v>
      </c>
      <c r="E8" s="812" t="s">
        <v>467</v>
      </c>
      <c r="F8" s="120"/>
      <c r="G8" s="121"/>
      <c r="H8" s="120" t="s">
        <v>476</v>
      </c>
      <c r="I8" s="812" t="s">
        <v>467</v>
      </c>
      <c r="J8" s="812" t="s">
        <v>467</v>
      </c>
      <c r="K8" s="119"/>
      <c r="L8" s="119"/>
      <c r="M8" s="119"/>
      <c r="N8" s="119"/>
      <c r="O8" s="119"/>
    </row>
    <row r="9" spans="1:15" ht="44.1" customHeight="1">
      <c r="A9" s="120" t="s">
        <v>477</v>
      </c>
      <c r="B9" s="120" t="s">
        <v>427</v>
      </c>
      <c r="C9" s="812" t="s">
        <v>467</v>
      </c>
      <c r="D9" s="812" t="s">
        <v>467</v>
      </c>
      <c r="E9" s="812" t="s">
        <v>467</v>
      </c>
      <c r="F9" s="120"/>
      <c r="G9" s="121"/>
      <c r="H9" s="120" t="s">
        <v>373</v>
      </c>
      <c r="I9" s="812" t="s">
        <v>467</v>
      </c>
      <c r="J9" s="812" t="s">
        <v>467</v>
      </c>
      <c r="K9" s="119"/>
      <c r="L9" s="119"/>
      <c r="M9" s="119"/>
      <c r="N9" s="119"/>
      <c r="O9" s="119"/>
    </row>
    <row r="10" spans="1:15" ht="33" customHeight="1">
      <c r="A10" s="120" t="s">
        <v>478</v>
      </c>
      <c r="B10" s="120" t="s">
        <v>428</v>
      </c>
      <c r="C10" s="812" t="s">
        <v>467</v>
      </c>
      <c r="D10" s="812" t="s">
        <v>467</v>
      </c>
      <c r="E10" s="812" t="s">
        <v>467</v>
      </c>
      <c r="F10" s="120"/>
      <c r="G10" s="121"/>
      <c r="H10" s="120" t="s">
        <v>479</v>
      </c>
      <c r="I10" s="812" t="s">
        <v>467</v>
      </c>
      <c r="J10" s="812" t="s">
        <v>467</v>
      </c>
      <c r="K10" s="119"/>
      <c r="L10" s="119"/>
      <c r="M10" s="119"/>
      <c r="N10" s="119"/>
      <c r="O10" s="119"/>
    </row>
    <row r="11" spans="1:15" ht="58.5" customHeight="1">
      <c r="A11" s="120" t="s">
        <v>480</v>
      </c>
      <c r="B11" s="120" t="s">
        <v>59</v>
      </c>
      <c r="C11" s="812" t="s">
        <v>467</v>
      </c>
      <c r="D11" s="812" t="s">
        <v>467</v>
      </c>
      <c r="E11" s="812" t="s">
        <v>467</v>
      </c>
      <c r="F11" s="120" t="s">
        <v>481</v>
      </c>
      <c r="G11" s="121" t="s">
        <v>467</v>
      </c>
      <c r="H11" s="120" t="s">
        <v>482</v>
      </c>
      <c r="I11" s="812" t="s">
        <v>467</v>
      </c>
      <c r="J11" s="812" t="s">
        <v>467</v>
      </c>
      <c r="K11" s="119"/>
      <c r="L11" s="119"/>
      <c r="M11" s="119"/>
      <c r="N11" s="119"/>
      <c r="O11" s="119"/>
    </row>
    <row r="12" spans="1:15" ht="28.5" customHeight="1">
      <c r="A12" s="120" t="s">
        <v>483</v>
      </c>
      <c r="B12" s="120" t="s">
        <v>319</v>
      </c>
      <c r="C12" s="812" t="s">
        <v>484</v>
      </c>
      <c r="D12" s="812" t="s">
        <v>467</v>
      </c>
      <c r="E12" s="812" t="s">
        <v>467</v>
      </c>
      <c r="F12" s="814" t="s">
        <v>467</v>
      </c>
      <c r="G12" s="812" t="s">
        <v>467</v>
      </c>
      <c r="H12" s="812" t="s">
        <v>467</v>
      </c>
      <c r="I12" s="812" t="s">
        <v>467</v>
      </c>
      <c r="J12" s="812" t="s">
        <v>467</v>
      </c>
      <c r="K12" s="119"/>
      <c r="L12" s="119"/>
      <c r="M12" s="119"/>
      <c r="N12" s="119"/>
      <c r="O12" s="119"/>
    </row>
    <row r="13" spans="1:15" ht="27.75" customHeight="1">
      <c r="A13" s="110"/>
      <c r="B13" s="110"/>
      <c r="C13" s="110"/>
      <c r="D13" s="110"/>
      <c r="E13" s="110"/>
      <c r="F13" s="110"/>
      <c r="G13" s="110"/>
      <c r="H13" s="110"/>
      <c r="I13" s="110"/>
      <c r="J13" s="110"/>
      <c r="K13" s="119"/>
      <c r="L13" s="119"/>
      <c r="M13" s="119"/>
      <c r="N13" s="119"/>
      <c r="O13" s="119"/>
    </row>
    <row r="14" spans="1:15" ht="21.75" customHeight="1">
      <c r="A14" s="815" t="s">
        <v>485</v>
      </c>
      <c r="B14" s="815"/>
      <c r="C14" s="815"/>
      <c r="D14" s="815"/>
      <c r="E14" s="815"/>
      <c r="F14" s="815"/>
      <c r="G14" s="815"/>
      <c r="H14" s="815"/>
      <c r="I14" s="815"/>
      <c r="J14" s="815"/>
      <c r="K14" s="119"/>
      <c r="L14" s="119"/>
      <c r="M14" s="119"/>
      <c r="N14" s="119"/>
      <c r="O14" s="119"/>
    </row>
    <row r="15" spans="1:15" ht="33" customHeight="1">
      <c r="A15" s="816" t="s">
        <v>486</v>
      </c>
      <c r="B15" s="817"/>
      <c r="C15" s="816" t="s">
        <v>347</v>
      </c>
      <c r="D15" s="818"/>
      <c r="E15" s="818"/>
      <c r="F15" s="819" t="s">
        <v>487</v>
      </c>
      <c r="G15" s="819"/>
      <c r="H15" s="819"/>
      <c r="I15" s="820" t="s">
        <v>488</v>
      </c>
      <c r="J15" s="821"/>
      <c r="K15" s="119"/>
      <c r="L15" s="119"/>
      <c r="M15" s="119"/>
      <c r="N15" s="119"/>
      <c r="O15" s="119"/>
    </row>
    <row r="16" spans="1:15" ht="18" customHeight="1">
      <c r="A16" s="822" t="s">
        <v>467</v>
      </c>
      <c r="B16" s="823"/>
      <c r="C16" s="822" t="s">
        <v>467</v>
      </c>
      <c r="D16" s="824"/>
      <c r="E16" s="824"/>
      <c r="F16" s="825"/>
      <c r="G16" s="825"/>
      <c r="H16" s="825"/>
      <c r="I16" s="826"/>
      <c r="J16" s="827"/>
      <c r="K16" s="119"/>
      <c r="L16" s="119"/>
      <c r="M16" s="119"/>
      <c r="N16" s="119"/>
      <c r="O16" s="119"/>
    </row>
    <row r="17" spans="1:15" ht="18" customHeight="1">
      <c r="A17" s="822"/>
      <c r="B17" s="823"/>
      <c r="C17" s="822"/>
      <c r="D17" s="824"/>
      <c r="E17" s="824"/>
      <c r="F17" s="825"/>
      <c r="G17" s="825"/>
      <c r="H17" s="825"/>
      <c r="I17" s="826"/>
      <c r="J17" s="827"/>
      <c r="K17" s="119"/>
      <c r="L17" s="119"/>
      <c r="M17" s="119"/>
      <c r="N17" s="119"/>
      <c r="O17" s="119"/>
    </row>
    <row r="18" spans="1:15" ht="18" customHeight="1">
      <c r="A18" s="822"/>
      <c r="B18" s="823"/>
      <c r="C18" s="822"/>
      <c r="D18" s="824"/>
      <c r="E18" s="824"/>
      <c r="F18" s="825"/>
      <c r="G18" s="825"/>
      <c r="H18" s="825"/>
      <c r="I18" s="826"/>
      <c r="J18" s="827"/>
      <c r="K18" s="119"/>
      <c r="L18" s="119"/>
      <c r="M18" s="119"/>
      <c r="N18" s="119"/>
      <c r="O18" s="119"/>
    </row>
    <row r="19" spans="1:15" ht="18" customHeight="1">
      <c r="A19" s="822"/>
      <c r="B19" s="823"/>
      <c r="C19" s="822"/>
      <c r="D19" s="824"/>
      <c r="E19" s="824"/>
      <c r="F19" s="825"/>
      <c r="G19" s="825"/>
      <c r="H19" s="825"/>
      <c r="I19" s="826"/>
      <c r="J19" s="827"/>
      <c r="K19" s="119"/>
      <c r="L19" s="119"/>
      <c r="M19" s="119"/>
      <c r="N19" s="119"/>
      <c r="O19" s="119"/>
    </row>
    <row r="20" spans="1:15" ht="18" customHeight="1">
      <c r="A20" s="822"/>
      <c r="B20" s="823"/>
      <c r="C20" s="822"/>
      <c r="D20" s="824"/>
      <c r="E20" s="824"/>
      <c r="F20" s="825"/>
      <c r="G20" s="825"/>
      <c r="H20" s="825"/>
      <c r="I20" s="826"/>
      <c r="J20" s="827"/>
      <c r="K20" s="119"/>
      <c r="L20" s="119"/>
      <c r="M20" s="119"/>
      <c r="N20" s="119"/>
      <c r="O20" s="119"/>
    </row>
    <row r="21" spans="1:15" ht="18" customHeight="1">
      <c r="A21" s="828" t="s">
        <v>76</v>
      </c>
      <c r="B21" s="828"/>
      <c r="C21" s="828"/>
      <c r="D21" s="828"/>
      <c r="E21" s="828"/>
      <c r="F21" s="828"/>
      <c r="G21" s="828"/>
      <c r="H21" s="828"/>
      <c r="I21" s="828"/>
      <c r="J21" s="828"/>
      <c r="K21" s="119"/>
      <c r="L21" s="119"/>
      <c r="M21" s="119"/>
      <c r="N21" s="119"/>
      <c r="O21" s="119"/>
    </row>
    <row r="22" spans="1:15" ht="18" customHeight="1">
      <c r="A22" s="110"/>
      <c r="B22" s="110"/>
      <c r="C22" s="110"/>
      <c r="D22" s="110"/>
      <c r="E22" s="110"/>
      <c r="F22" s="110"/>
      <c r="G22" s="110"/>
      <c r="H22" s="110"/>
      <c r="I22" s="110"/>
      <c r="J22" s="110"/>
      <c r="K22" s="119"/>
      <c r="L22" s="119"/>
      <c r="M22" s="119"/>
      <c r="N22" s="119"/>
      <c r="O22" s="119"/>
    </row>
    <row r="23" spans="1:15" ht="18.75" customHeight="1">
      <c r="A23" s="829" t="s">
        <v>434</v>
      </c>
      <c r="B23" s="829"/>
      <c r="C23" s="829"/>
      <c r="D23" s="829"/>
      <c r="E23" s="829"/>
      <c r="F23" s="829"/>
      <c r="G23" s="829"/>
      <c r="H23" s="829"/>
      <c r="I23" s="829"/>
      <c r="J23" s="829"/>
      <c r="K23" s="119"/>
      <c r="L23" s="119"/>
      <c r="M23" s="119"/>
      <c r="N23" s="119"/>
      <c r="O23" s="119"/>
    </row>
    <row r="24" spans="1:15" ht="55.5" customHeight="1">
      <c r="A24" s="851" t="s">
        <v>489</v>
      </c>
      <c r="B24" s="851"/>
      <c r="C24" s="851"/>
      <c r="D24" s="851"/>
      <c r="E24" s="851"/>
      <c r="F24" s="851"/>
      <c r="G24" s="851"/>
      <c r="H24" s="851"/>
      <c r="I24" s="851"/>
      <c r="J24" s="851"/>
      <c r="K24" s="119"/>
      <c r="L24" s="119"/>
      <c r="M24" s="119"/>
      <c r="N24" s="119"/>
      <c r="O24" s="119"/>
    </row>
    <row r="25" spans="1:15">
      <c r="A25" s="851"/>
      <c r="B25" s="851"/>
      <c r="C25" s="851"/>
      <c r="D25" s="851"/>
      <c r="E25" s="851"/>
      <c r="F25" s="851"/>
      <c r="G25" s="851"/>
      <c r="H25" s="851"/>
      <c r="I25" s="851"/>
      <c r="J25" s="851"/>
      <c r="K25" s="119"/>
      <c r="L25" s="119"/>
      <c r="M25" s="119"/>
      <c r="N25" s="119"/>
      <c r="O25" s="119"/>
    </row>
    <row r="26" spans="1:15" ht="22.5" customHeight="1">
      <c r="A26" s="829" t="s">
        <v>490</v>
      </c>
      <c r="B26" s="829"/>
      <c r="C26" s="829"/>
      <c r="D26" s="829"/>
      <c r="E26" s="829"/>
      <c r="F26" s="829"/>
      <c r="G26" s="829"/>
      <c r="H26" s="829"/>
      <c r="I26" s="829"/>
      <c r="J26" s="829"/>
      <c r="K26" s="119"/>
      <c r="L26" s="119"/>
      <c r="M26" s="119"/>
      <c r="N26" s="119"/>
      <c r="O26" s="119"/>
    </row>
    <row r="27" spans="1:15" ht="22.5" customHeight="1">
      <c r="A27" s="851" t="s">
        <v>491</v>
      </c>
      <c r="B27" s="851"/>
      <c r="C27" s="851"/>
      <c r="D27" s="851"/>
      <c r="E27" s="851"/>
      <c r="F27" s="851"/>
      <c r="G27" s="851"/>
      <c r="H27" s="851"/>
      <c r="I27" s="851"/>
      <c r="J27" s="851"/>
      <c r="K27" s="119"/>
      <c r="L27" s="119"/>
      <c r="M27" s="119"/>
      <c r="N27" s="119"/>
      <c r="O27" s="119"/>
    </row>
    <row r="28" spans="1:15" ht="22.5" customHeight="1">
      <c r="A28" s="851"/>
      <c r="B28" s="851"/>
      <c r="C28" s="851"/>
      <c r="D28" s="851"/>
      <c r="E28" s="851"/>
      <c r="F28" s="851"/>
      <c r="G28" s="851"/>
      <c r="H28" s="851"/>
      <c r="I28" s="851"/>
      <c r="J28" s="851"/>
      <c r="K28" s="119"/>
      <c r="L28" s="119"/>
      <c r="M28" s="119"/>
      <c r="N28" s="119"/>
      <c r="O28" s="119"/>
    </row>
    <row r="29" spans="1:15" ht="22.5" customHeight="1">
      <c r="A29" s="110"/>
      <c r="B29" s="110"/>
      <c r="C29" s="110"/>
      <c r="D29" s="110"/>
      <c r="E29" s="110"/>
      <c r="F29" s="110"/>
      <c r="G29" s="110"/>
      <c r="H29" s="110"/>
      <c r="I29" s="110"/>
      <c r="J29" s="110"/>
      <c r="K29" s="119"/>
      <c r="L29" s="119"/>
      <c r="M29" s="119"/>
      <c r="N29" s="119"/>
      <c r="O29" s="119"/>
    </row>
    <row r="30" spans="1:15" ht="23.25" customHeight="1">
      <c r="A30" s="829" t="s">
        <v>492</v>
      </c>
      <c r="B30" s="829"/>
      <c r="C30" s="829"/>
      <c r="D30" s="829"/>
      <c r="E30" s="829"/>
      <c r="F30" s="829"/>
      <c r="G30" s="829"/>
      <c r="H30" s="829"/>
      <c r="I30" s="829"/>
      <c r="J30" s="829"/>
      <c r="K30" s="119"/>
      <c r="L30" s="119"/>
      <c r="M30" s="119"/>
      <c r="N30" s="119"/>
      <c r="O30" s="119"/>
    </row>
    <row r="31" spans="1:15" ht="60.75" customHeight="1">
      <c r="A31" s="852" t="s">
        <v>467</v>
      </c>
      <c r="B31" s="852"/>
      <c r="C31" s="852"/>
      <c r="D31" s="852"/>
      <c r="E31" s="852"/>
      <c r="F31" s="852"/>
      <c r="G31" s="852"/>
      <c r="H31" s="852"/>
      <c r="I31" s="852"/>
      <c r="J31" s="852"/>
      <c r="K31" s="119"/>
      <c r="L31" s="119"/>
      <c r="M31" s="119"/>
      <c r="N31" s="119"/>
      <c r="O31" s="119"/>
    </row>
    <row r="32" spans="1:15" ht="60.75" customHeight="1">
      <c r="A32" s="852"/>
      <c r="B32" s="852"/>
      <c r="C32" s="852"/>
      <c r="D32" s="852"/>
      <c r="E32" s="852"/>
      <c r="F32" s="852"/>
      <c r="G32" s="852"/>
      <c r="H32" s="852"/>
      <c r="I32" s="852"/>
      <c r="J32" s="852"/>
      <c r="K32" s="119"/>
      <c r="L32" s="119"/>
      <c r="M32" s="119"/>
      <c r="N32" s="119"/>
      <c r="O32" s="119"/>
    </row>
    <row r="33" spans="1:15" ht="60.75" customHeight="1">
      <c r="A33" s="852"/>
      <c r="B33" s="852"/>
      <c r="C33" s="852"/>
      <c r="D33" s="852"/>
      <c r="E33" s="852"/>
      <c r="F33" s="852"/>
      <c r="G33" s="852"/>
      <c r="H33" s="852"/>
      <c r="I33" s="852"/>
      <c r="J33" s="852"/>
      <c r="K33" s="119"/>
      <c r="L33" s="119"/>
      <c r="M33" s="119"/>
      <c r="N33" s="119"/>
      <c r="O33" s="119"/>
    </row>
    <row r="34" spans="1:15" ht="60.75" customHeight="1">
      <c r="A34" s="110"/>
      <c r="B34" s="110"/>
      <c r="C34" s="110"/>
      <c r="D34" s="110"/>
      <c r="E34" s="110"/>
      <c r="F34" s="110"/>
      <c r="G34" s="110"/>
      <c r="H34" s="110"/>
      <c r="I34" s="110"/>
      <c r="J34" s="110"/>
      <c r="K34" s="119"/>
      <c r="L34" s="119"/>
      <c r="M34" s="119"/>
      <c r="N34" s="119"/>
      <c r="O34" s="119"/>
    </row>
    <row r="35" spans="1:15" ht="21.95" customHeight="1">
      <c r="A35" s="830" t="s">
        <v>493</v>
      </c>
      <c r="B35" s="830"/>
      <c r="C35" s="830"/>
      <c r="D35" s="830"/>
      <c r="E35" s="830"/>
      <c r="F35" s="830"/>
      <c r="G35" s="830"/>
      <c r="H35" s="830"/>
      <c r="I35" s="830"/>
      <c r="J35" s="830"/>
      <c r="K35" s="119"/>
      <c r="L35" s="119"/>
      <c r="M35" s="119"/>
      <c r="N35" s="119"/>
      <c r="O35" s="119"/>
    </row>
    <row r="36" spans="1:15" ht="45" customHeight="1">
      <c r="A36" s="123" t="s">
        <v>494</v>
      </c>
      <c r="B36" s="831" t="s">
        <v>467</v>
      </c>
      <c r="C36" s="832"/>
      <c r="D36" s="832"/>
      <c r="E36" s="833"/>
      <c r="F36" s="123" t="s">
        <v>495</v>
      </c>
      <c r="G36" s="831" t="s">
        <v>467</v>
      </c>
      <c r="H36" s="832"/>
      <c r="I36" s="832"/>
      <c r="J36" s="833"/>
      <c r="K36" s="119"/>
      <c r="L36" s="119"/>
      <c r="M36" s="119"/>
      <c r="N36" s="119"/>
      <c r="O36" s="119"/>
    </row>
    <row r="37" spans="1:15" ht="48" customHeight="1">
      <c r="A37" s="123" t="s">
        <v>496</v>
      </c>
      <c r="B37" s="831" t="s">
        <v>467</v>
      </c>
      <c r="C37" s="832" t="s">
        <v>467</v>
      </c>
      <c r="D37" s="832" t="s">
        <v>467</v>
      </c>
      <c r="E37" s="833" t="s">
        <v>467</v>
      </c>
      <c r="F37" s="123" t="s">
        <v>497</v>
      </c>
      <c r="G37" s="831" t="s">
        <v>467</v>
      </c>
      <c r="H37" s="832" t="s">
        <v>467</v>
      </c>
      <c r="I37" s="832" t="s">
        <v>467</v>
      </c>
      <c r="J37" s="833" t="s">
        <v>467</v>
      </c>
      <c r="K37" s="119"/>
      <c r="L37" s="119"/>
      <c r="M37" s="119"/>
      <c r="N37" s="119"/>
      <c r="O37" s="119"/>
    </row>
    <row r="38" spans="1:15" ht="48" customHeight="1">
      <c r="A38" s="123" t="s">
        <v>498</v>
      </c>
      <c r="B38" s="831" t="s">
        <v>467</v>
      </c>
      <c r="C38" s="832" t="s">
        <v>467</v>
      </c>
      <c r="D38" s="832" t="s">
        <v>467</v>
      </c>
      <c r="E38" s="833" t="s">
        <v>467</v>
      </c>
      <c r="F38" s="123" t="s">
        <v>499</v>
      </c>
      <c r="G38" s="831" t="s">
        <v>467</v>
      </c>
      <c r="H38" s="832" t="s">
        <v>467</v>
      </c>
      <c r="I38" s="832" t="s">
        <v>467</v>
      </c>
      <c r="J38" s="833" t="s">
        <v>467</v>
      </c>
      <c r="K38" s="119"/>
      <c r="L38" s="119"/>
      <c r="M38" s="119"/>
      <c r="N38" s="119"/>
      <c r="O38" s="119"/>
    </row>
    <row r="39" spans="1:15">
      <c r="A39" s="110"/>
      <c r="B39" s="110"/>
      <c r="C39" s="110"/>
      <c r="D39" s="110"/>
      <c r="E39" s="110"/>
      <c r="F39" s="110"/>
      <c r="G39" s="110"/>
      <c r="H39" s="110"/>
      <c r="I39" s="110"/>
      <c r="J39" s="110"/>
      <c r="K39" s="119"/>
      <c r="L39" s="119"/>
      <c r="M39" s="119"/>
      <c r="N39" s="119"/>
      <c r="O39" s="119"/>
    </row>
    <row r="40" spans="1:15" ht="19.5" customHeight="1">
      <c r="A40" s="834" t="s">
        <v>500</v>
      </c>
      <c r="B40" s="834"/>
      <c r="C40" s="834"/>
      <c r="D40" s="834"/>
      <c r="E40" s="834"/>
      <c r="F40" s="834"/>
      <c r="G40" s="834"/>
      <c r="H40" s="834"/>
      <c r="I40" s="834"/>
      <c r="J40" s="834"/>
      <c r="K40" s="119"/>
      <c r="L40" s="119"/>
      <c r="M40" s="119"/>
      <c r="N40" s="119"/>
      <c r="O40" s="119"/>
    </row>
    <row r="41" spans="1:15" ht="42" customHeight="1">
      <c r="A41" s="124" t="s">
        <v>501</v>
      </c>
      <c r="B41" s="835">
        <f>COUNTIF($D$80:$D$84,"Minor")</f>
        <v>0</v>
      </c>
      <c r="C41" s="836"/>
      <c r="D41" s="124" t="s">
        <v>502</v>
      </c>
      <c r="E41" s="835">
        <f>COUNTIF($D$80:$D$84,"Major")</f>
        <v>0</v>
      </c>
      <c r="F41" s="836"/>
      <c r="G41" s="124" t="s">
        <v>503</v>
      </c>
      <c r="H41" s="835">
        <f>COUNTIF($D$80:$D$84,"Observation")</f>
        <v>0</v>
      </c>
      <c r="I41" s="837"/>
      <c r="J41" s="836"/>
      <c r="K41" s="119"/>
      <c r="L41" s="119"/>
      <c r="M41" s="119"/>
      <c r="N41" s="119"/>
      <c r="O41" s="119"/>
    </row>
    <row r="42" spans="1:15" ht="48.95" customHeight="1">
      <c r="A42" s="124" t="s">
        <v>504</v>
      </c>
      <c r="B42" s="835">
        <f>COUNTIF($D$107:$D$134,"OFI")</f>
        <v>0</v>
      </c>
      <c r="C42" s="836"/>
      <c r="D42" s="124" t="s">
        <v>505</v>
      </c>
      <c r="E42" s="838"/>
      <c r="F42" s="839"/>
      <c r="G42" s="124" t="s">
        <v>506</v>
      </c>
      <c r="H42" s="835" t="s">
        <v>467</v>
      </c>
      <c r="I42" s="837"/>
      <c r="J42" s="836"/>
      <c r="K42" s="119"/>
      <c r="L42" s="119"/>
      <c r="M42" s="119"/>
      <c r="N42" s="119"/>
      <c r="O42" s="119"/>
    </row>
    <row r="43" spans="1:15" ht="31.5" customHeight="1">
      <c r="A43" s="190"/>
      <c r="B43" s="191"/>
      <c r="C43" s="191"/>
      <c r="D43" s="190"/>
      <c r="E43" s="192"/>
      <c r="F43" s="192"/>
      <c r="G43" s="190"/>
      <c r="H43" s="191"/>
      <c r="I43" s="191"/>
      <c r="J43" s="191"/>
      <c r="K43" s="119"/>
      <c r="L43" s="119"/>
      <c r="M43" s="119"/>
      <c r="N43" s="119"/>
      <c r="O43" s="119"/>
    </row>
    <row r="44" spans="1:15" s="193" customFormat="1" ht="30.75" customHeight="1">
      <c r="A44" s="806" t="s">
        <v>1057</v>
      </c>
      <c r="B44" s="807"/>
      <c r="C44" s="807"/>
      <c r="D44" s="807"/>
      <c r="E44" s="807"/>
      <c r="F44" s="808"/>
      <c r="G44" s="808"/>
      <c r="H44" s="808"/>
      <c r="I44" s="808"/>
      <c r="J44" s="808"/>
      <c r="K44" s="119"/>
      <c r="L44" s="119"/>
    </row>
    <row r="45" spans="1:15" s="193" customFormat="1" ht="30.75" customHeight="1">
      <c r="A45" s="806" t="s">
        <v>1058</v>
      </c>
      <c r="B45" s="807"/>
      <c r="C45" s="807"/>
      <c r="D45" s="807"/>
      <c r="E45" s="807"/>
      <c r="F45" s="808"/>
      <c r="G45" s="808"/>
      <c r="H45" s="808"/>
      <c r="I45" s="808"/>
      <c r="J45" s="808"/>
      <c r="L45" s="119"/>
      <c r="M45" s="119"/>
      <c r="N45" s="119"/>
      <c r="O45" s="119"/>
    </row>
    <row r="46" spans="1:15" s="193" customFormat="1" ht="30.75" customHeight="1">
      <c r="A46" s="806" t="s">
        <v>1059</v>
      </c>
      <c r="B46" s="807"/>
      <c r="C46" s="807"/>
      <c r="D46" s="807"/>
      <c r="E46" s="807"/>
      <c r="F46" s="808"/>
      <c r="G46" s="808"/>
      <c r="H46" s="808"/>
      <c r="I46" s="808"/>
      <c r="J46" s="808"/>
      <c r="K46" s="119"/>
      <c r="L46" s="119"/>
      <c r="M46" s="119"/>
      <c r="N46" s="119"/>
      <c r="O46" s="119"/>
    </row>
    <row r="47" spans="1:15" s="193" customFormat="1" ht="30.75" customHeight="1">
      <c r="A47" s="806" t="s">
        <v>1060</v>
      </c>
      <c r="B47" s="807"/>
      <c r="C47" s="807"/>
      <c r="D47" s="807"/>
      <c r="E47" s="807"/>
      <c r="F47" s="808"/>
      <c r="G47" s="808"/>
      <c r="H47" s="808"/>
      <c r="I47" s="808"/>
      <c r="J47" s="808"/>
      <c r="K47" s="119"/>
      <c r="L47" s="119"/>
      <c r="M47" s="119"/>
      <c r="N47" s="119"/>
      <c r="O47" s="119"/>
    </row>
    <row r="48" spans="1:15" s="193" customFormat="1" ht="30.75" customHeight="1">
      <c r="A48" s="806" t="s">
        <v>1061</v>
      </c>
      <c r="B48" s="807"/>
      <c r="C48" s="807"/>
      <c r="D48" s="807"/>
      <c r="E48" s="807"/>
      <c r="F48" s="808"/>
      <c r="G48" s="808"/>
      <c r="H48" s="808"/>
      <c r="I48" s="808"/>
      <c r="J48" s="808"/>
      <c r="K48" s="119"/>
      <c r="L48" s="119"/>
      <c r="M48" s="119"/>
      <c r="N48" s="119"/>
      <c r="O48" s="119"/>
    </row>
    <row r="49" spans="1:15" s="193" customFormat="1" ht="30.75" customHeight="1">
      <c r="A49" s="806" t="s">
        <v>1062</v>
      </c>
      <c r="B49" s="807"/>
      <c r="C49" s="807"/>
      <c r="D49" s="807"/>
      <c r="E49" s="807"/>
      <c r="F49" s="808"/>
      <c r="G49" s="808"/>
      <c r="H49" s="808"/>
      <c r="I49" s="808"/>
      <c r="J49" s="808"/>
      <c r="K49" s="119"/>
      <c r="L49" s="119"/>
      <c r="M49" s="119"/>
      <c r="N49" s="119"/>
      <c r="O49" s="119"/>
    </row>
    <row r="50" spans="1:15" s="193" customFormat="1" ht="30.75" customHeight="1">
      <c r="A50" s="806" t="s">
        <v>1063</v>
      </c>
      <c r="B50" s="807"/>
      <c r="C50" s="807"/>
      <c r="D50" s="807"/>
      <c r="E50" s="807"/>
      <c r="F50" s="808"/>
      <c r="G50" s="808"/>
      <c r="H50" s="808"/>
      <c r="I50" s="808"/>
      <c r="J50" s="808"/>
      <c r="K50" s="119"/>
      <c r="L50" s="119"/>
      <c r="M50" s="119"/>
      <c r="N50" s="119"/>
      <c r="O50" s="119"/>
    </row>
    <row r="51" spans="1:15" s="193" customFormat="1" ht="30.75" customHeight="1">
      <c r="A51" s="806" t="s">
        <v>1064</v>
      </c>
      <c r="B51" s="807"/>
      <c r="C51" s="807"/>
      <c r="D51" s="807"/>
      <c r="E51" s="807"/>
      <c r="F51" s="808"/>
      <c r="G51" s="808"/>
      <c r="H51" s="808"/>
      <c r="I51" s="808"/>
      <c r="J51" s="808"/>
      <c r="L51" s="119"/>
      <c r="M51" s="119"/>
      <c r="N51" s="119"/>
      <c r="O51" s="119"/>
    </row>
    <row r="52" spans="1:15" s="193" customFormat="1" ht="30.75" customHeight="1">
      <c r="A52" s="806" t="s">
        <v>1065</v>
      </c>
      <c r="B52" s="807"/>
      <c r="C52" s="807"/>
      <c r="D52" s="807"/>
      <c r="E52" s="807"/>
      <c r="F52" s="808"/>
      <c r="G52" s="808"/>
      <c r="H52" s="808"/>
      <c r="I52" s="808"/>
      <c r="J52" s="808"/>
      <c r="K52" s="119"/>
      <c r="L52" s="119"/>
      <c r="M52" s="119"/>
      <c r="N52" s="119"/>
      <c r="O52" s="119"/>
    </row>
    <row r="53" spans="1:15" s="193" customFormat="1" ht="30.75" customHeight="1">
      <c r="A53" s="806" t="s">
        <v>1066</v>
      </c>
      <c r="B53" s="807"/>
      <c r="C53" s="807"/>
      <c r="D53" s="807"/>
      <c r="E53" s="807"/>
      <c r="F53" s="808"/>
      <c r="G53" s="808"/>
      <c r="H53" s="808"/>
      <c r="I53" s="808"/>
      <c r="J53" s="808"/>
      <c r="K53" s="119"/>
      <c r="L53" s="119"/>
      <c r="M53" s="119"/>
      <c r="N53" s="119"/>
      <c r="O53" s="119"/>
    </row>
    <row r="54" spans="1:15" s="193" customFormat="1" ht="30.75" customHeight="1">
      <c r="A54" s="806" t="s">
        <v>1067</v>
      </c>
      <c r="B54" s="807"/>
      <c r="C54" s="807"/>
      <c r="D54" s="807"/>
      <c r="E54" s="807"/>
      <c r="F54" s="808"/>
      <c r="G54" s="808"/>
      <c r="H54" s="808"/>
      <c r="I54" s="808"/>
      <c r="J54" s="808"/>
      <c r="K54" s="119"/>
      <c r="L54" s="119"/>
      <c r="M54" s="119"/>
      <c r="N54" s="119"/>
      <c r="O54" s="119"/>
    </row>
    <row r="55" spans="1:15" s="193" customFormat="1" ht="30.75" customHeight="1">
      <c r="A55" s="806" t="s">
        <v>1068</v>
      </c>
      <c r="B55" s="807"/>
      <c r="C55" s="807"/>
      <c r="D55" s="807"/>
      <c r="E55" s="807"/>
      <c r="F55" s="808"/>
      <c r="G55" s="808"/>
      <c r="H55" s="808"/>
      <c r="I55" s="808"/>
      <c r="J55" s="808"/>
      <c r="K55" s="119"/>
      <c r="L55" s="119"/>
      <c r="M55" s="119"/>
      <c r="N55" s="119"/>
      <c r="O55" s="119"/>
    </row>
    <row r="56" spans="1:15" s="193" customFormat="1" ht="30.75" customHeight="1">
      <c r="A56" s="806" t="s">
        <v>1069</v>
      </c>
      <c r="B56" s="807"/>
      <c r="C56" s="807"/>
      <c r="D56" s="807"/>
      <c r="E56" s="807"/>
      <c r="F56" s="808"/>
      <c r="G56" s="808"/>
      <c r="H56" s="808"/>
      <c r="I56" s="808"/>
      <c r="J56" s="808"/>
      <c r="K56" s="119"/>
      <c r="L56" s="119"/>
      <c r="M56" s="119"/>
      <c r="N56" s="119"/>
      <c r="O56" s="119"/>
    </row>
    <row r="57" spans="1:15" s="193" customFormat="1" ht="30.75" customHeight="1">
      <c r="A57" s="806" t="s">
        <v>1070</v>
      </c>
      <c r="B57" s="807"/>
      <c r="C57" s="807"/>
      <c r="D57" s="807"/>
      <c r="E57" s="807"/>
      <c r="F57" s="808"/>
      <c r="G57" s="808"/>
      <c r="H57" s="808"/>
      <c r="I57" s="808"/>
      <c r="J57" s="808"/>
      <c r="K57" s="119"/>
      <c r="L57" s="119"/>
      <c r="M57" s="119"/>
      <c r="N57" s="119"/>
      <c r="O57" s="119"/>
    </row>
    <row r="58" spans="1:15" s="193" customFormat="1" ht="30.75" customHeight="1">
      <c r="A58" s="806" t="s">
        <v>1071</v>
      </c>
      <c r="B58" s="807"/>
      <c r="C58" s="807"/>
      <c r="D58" s="807"/>
      <c r="E58" s="807"/>
      <c r="F58" s="808"/>
      <c r="G58" s="808"/>
      <c r="H58" s="808"/>
      <c r="I58" s="808"/>
      <c r="J58" s="808"/>
      <c r="K58" s="119"/>
      <c r="L58" s="119"/>
      <c r="M58" s="119"/>
      <c r="N58" s="119"/>
      <c r="O58" s="119"/>
    </row>
    <row r="59" spans="1:15" s="193" customFormat="1" ht="30.75" customHeight="1">
      <c r="A59" s="806" t="s">
        <v>1072</v>
      </c>
      <c r="B59" s="807"/>
      <c r="C59" s="807"/>
      <c r="D59" s="807"/>
      <c r="E59" s="807"/>
      <c r="F59" s="808"/>
      <c r="G59" s="808"/>
      <c r="H59" s="808"/>
      <c r="I59" s="808"/>
      <c r="J59" s="808"/>
      <c r="K59" s="119"/>
      <c r="L59" s="119"/>
      <c r="M59" s="119"/>
      <c r="N59" s="119"/>
      <c r="O59" s="119"/>
    </row>
    <row r="60" spans="1:15" s="193" customFormat="1" ht="30.75" customHeight="1">
      <c r="A60" s="806" t="s">
        <v>1073</v>
      </c>
      <c r="B60" s="807"/>
      <c r="C60" s="807"/>
      <c r="D60" s="807"/>
      <c r="E60" s="807"/>
      <c r="F60" s="808"/>
      <c r="G60" s="808"/>
      <c r="H60" s="808"/>
      <c r="I60" s="808"/>
      <c r="J60" s="808"/>
      <c r="K60" s="119"/>
      <c r="L60" s="119"/>
      <c r="M60" s="119"/>
      <c r="N60" s="119"/>
      <c r="O60" s="119"/>
    </row>
    <row r="61" spans="1:15" s="193" customFormat="1" ht="30.75" customHeight="1">
      <c r="A61" s="806" t="s">
        <v>1074</v>
      </c>
      <c r="B61" s="807"/>
      <c r="C61" s="807"/>
      <c r="D61" s="807"/>
      <c r="E61" s="807"/>
      <c r="F61" s="808"/>
      <c r="G61" s="808"/>
      <c r="H61" s="808"/>
      <c r="I61" s="808"/>
      <c r="J61" s="808"/>
      <c r="K61" s="119"/>
      <c r="L61" s="119"/>
      <c r="M61" s="119"/>
      <c r="N61" s="119"/>
      <c r="O61" s="119"/>
    </row>
    <row r="62" spans="1:15" s="193" customFormat="1" ht="30.75" customHeight="1">
      <c r="A62" s="806" t="s">
        <v>1075</v>
      </c>
      <c r="B62" s="807"/>
      <c r="C62" s="807"/>
      <c r="D62" s="807"/>
      <c r="E62" s="807"/>
      <c r="F62" s="808"/>
      <c r="G62" s="808"/>
      <c r="H62" s="808"/>
      <c r="I62" s="808"/>
      <c r="J62" s="808"/>
      <c r="K62" s="119"/>
      <c r="L62" s="119"/>
      <c r="M62" s="119"/>
      <c r="N62" s="119"/>
      <c r="O62" s="119"/>
    </row>
    <row r="63" spans="1:15" s="193" customFormat="1" ht="30.75" customHeight="1">
      <c r="A63" s="806" t="s">
        <v>1076</v>
      </c>
      <c r="B63" s="807"/>
      <c r="C63" s="807"/>
      <c r="D63" s="807"/>
      <c r="E63" s="807"/>
      <c r="F63" s="808"/>
      <c r="G63" s="808"/>
      <c r="H63" s="808"/>
      <c r="I63" s="808"/>
      <c r="J63" s="808"/>
      <c r="K63" s="119"/>
      <c r="L63" s="119"/>
      <c r="M63" s="119"/>
      <c r="N63" s="119"/>
      <c r="O63" s="119"/>
    </row>
    <row r="64" spans="1:15" s="193" customFormat="1" ht="30.75" customHeight="1">
      <c r="A64" s="806" t="s">
        <v>1077</v>
      </c>
      <c r="B64" s="807"/>
      <c r="C64" s="807"/>
      <c r="D64" s="807"/>
      <c r="E64" s="807"/>
      <c r="F64" s="808"/>
      <c r="G64" s="808"/>
      <c r="H64" s="808"/>
      <c r="I64" s="808"/>
      <c r="J64" s="808"/>
      <c r="K64" s="119"/>
      <c r="L64" s="119"/>
      <c r="M64" s="119"/>
      <c r="N64" s="119"/>
      <c r="O64" s="119"/>
    </row>
    <row r="65" spans="1:15" s="193" customFormat="1" ht="30.75" customHeight="1">
      <c r="A65" s="806" t="s">
        <v>1078</v>
      </c>
      <c r="B65" s="807"/>
      <c r="C65" s="807"/>
      <c r="D65" s="807"/>
      <c r="E65" s="807"/>
      <c r="F65" s="808"/>
      <c r="G65" s="808"/>
      <c r="H65" s="808"/>
      <c r="I65" s="808"/>
      <c r="J65" s="808"/>
      <c r="K65" s="119"/>
      <c r="L65" s="119"/>
      <c r="M65" s="119"/>
      <c r="N65" s="119"/>
      <c r="O65" s="119"/>
    </row>
    <row r="66" spans="1:15" s="193" customFormat="1" ht="30.75" customHeight="1">
      <c r="A66" s="806" t="s">
        <v>1079</v>
      </c>
      <c r="B66" s="807"/>
      <c r="C66" s="807"/>
      <c r="D66" s="807"/>
      <c r="E66" s="807"/>
      <c r="F66" s="808"/>
      <c r="G66" s="808"/>
      <c r="H66" s="808"/>
      <c r="I66" s="808"/>
      <c r="J66" s="808"/>
      <c r="K66" s="119"/>
      <c r="L66" s="119"/>
      <c r="M66" s="119"/>
      <c r="N66" s="119"/>
      <c r="O66" s="119"/>
    </row>
    <row r="67" spans="1:15" s="193" customFormat="1" ht="30.75" customHeight="1">
      <c r="A67" s="806" t="s">
        <v>1080</v>
      </c>
      <c r="B67" s="807"/>
      <c r="C67" s="807"/>
      <c r="D67" s="807"/>
      <c r="E67" s="807"/>
      <c r="F67" s="808"/>
      <c r="G67" s="808"/>
      <c r="H67" s="808"/>
      <c r="I67" s="808"/>
      <c r="J67" s="808"/>
      <c r="K67" s="119"/>
      <c r="L67" s="119"/>
      <c r="M67" s="119"/>
      <c r="N67" s="119"/>
      <c r="O67" s="119"/>
    </row>
    <row r="68" spans="1:15" s="193" customFormat="1" ht="30.75" customHeight="1">
      <c r="A68" s="806" t="s">
        <v>1081</v>
      </c>
      <c r="B68" s="807"/>
      <c r="C68" s="807"/>
      <c r="D68" s="807"/>
      <c r="E68" s="807"/>
      <c r="F68" s="808"/>
      <c r="G68" s="808"/>
      <c r="H68" s="808"/>
      <c r="I68" s="808"/>
      <c r="J68" s="808"/>
      <c r="K68" s="119"/>
      <c r="L68" s="119"/>
      <c r="M68" s="119"/>
      <c r="N68" s="119"/>
      <c r="O68" s="119"/>
    </row>
    <row r="69" spans="1:15" s="193" customFormat="1" ht="30.75" customHeight="1">
      <c r="A69" s="806" t="s">
        <v>1057</v>
      </c>
      <c r="B69" s="807"/>
      <c r="C69" s="807"/>
      <c r="D69" s="807"/>
      <c r="E69" s="807"/>
      <c r="F69" s="808"/>
      <c r="G69" s="808"/>
      <c r="H69" s="808"/>
      <c r="I69" s="808"/>
      <c r="J69" s="808"/>
      <c r="K69" s="119"/>
      <c r="L69" s="119"/>
      <c r="M69" s="119"/>
      <c r="N69" s="119"/>
      <c r="O69" s="119"/>
    </row>
    <row r="70" spans="1:15" s="193" customFormat="1" ht="30.75" customHeight="1">
      <c r="A70" s="806" t="s">
        <v>1082</v>
      </c>
      <c r="B70" s="807"/>
      <c r="C70" s="807"/>
      <c r="D70" s="807"/>
      <c r="E70" s="807"/>
      <c r="F70" s="808"/>
      <c r="G70" s="808"/>
      <c r="H70" s="808"/>
      <c r="I70" s="808"/>
      <c r="J70" s="808"/>
      <c r="K70" s="119"/>
      <c r="L70" s="119"/>
      <c r="M70" s="119"/>
      <c r="N70" s="119"/>
      <c r="O70" s="119"/>
    </row>
    <row r="71" spans="1:15" ht="30.75" customHeight="1">
      <c r="A71" s="110"/>
      <c r="B71" s="110"/>
      <c r="C71" s="110"/>
      <c r="D71" s="110"/>
      <c r="E71" s="110"/>
      <c r="F71" s="110"/>
      <c r="G71" s="110"/>
      <c r="H71" s="110"/>
      <c r="I71" s="110"/>
      <c r="J71" s="110"/>
      <c r="K71" s="119"/>
      <c r="L71" s="119"/>
      <c r="M71" s="119"/>
      <c r="N71" s="119"/>
      <c r="O71" s="119"/>
    </row>
    <row r="72" spans="1:15" ht="18.75" customHeight="1">
      <c r="A72" s="834" t="s">
        <v>507</v>
      </c>
      <c r="B72" s="834"/>
      <c r="C72" s="834"/>
      <c r="D72" s="834"/>
      <c r="E72" s="834"/>
      <c r="F72" s="834"/>
      <c r="G72" s="834"/>
      <c r="H72" s="834"/>
      <c r="I72" s="834"/>
      <c r="J72" s="834"/>
      <c r="K72" s="119"/>
      <c r="L72" s="119"/>
      <c r="M72" s="119"/>
      <c r="N72" s="119"/>
      <c r="O72" s="119"/>
    </row>
    <row r="73" spans="1:15" ht="30" customHeight="1">
      <c r="A73" s="812" t="s">
        <v>508</v>
      </c>
      <c r="B73" s="812" t="s">
        <v>467</v>
      </c>
      <c r="C73" s="812" t="s">
        <v>467</v>
      </c>
      <c r="D73" s="812" t="s">
        <v>467</v>
      </c>
      <c r="E73" s="812" t="s">
        <v>467</v>
      </c>
      <c r="F73" s="812" t="s">
        <v>467</v>
      </c>
      <c r="G73" s="812" t="s">
        <v>467</v>
      </c>
      <c r="H73" s="812" t="s">
        <v>467</v>
      </c>
      <c r="I73" s="812" t="s">
        <v>467</v>
      </c>
      <c r="J73" s="812" t="s">
        <v>467</v>
      </c>
      <c r="K73" s="119"/>
      <c r="L73" s="119"/>
      <c r="M73" s="119"/>
      <c r="N73" s="119"/>
      <c r="O73" s="119"/>
    </row>
    <row r="74" spans="1:15" ht="49.5" customHeight="1">
      <c r="A74" s="812" t="s">
        <v>509</v>
      </c>
      <c r="B74" s="812" t="s">
        <v>467</v>
      </c>
      <c r="C74" s="812" t="s">
        <v>467</v>
      </c>
      <c r="D74" s="812" t="s">
        <v>467</v>
      </c>
      <c r="E74" s="812" t="s">
        <v>467</v>
      </c>
      <c r="F74" s="812" t="s">
        <v>467</v>
      </c>
      <c r="G74" s="812" t="s">
        <v>467</v>
      </c>
      <c r="H74" s="812" t="s">
        <v>467</v>
      </c>
      <c r="I74" s="812" t="s">
        <v>467</v>
      </c>
      <c r="J74" s="812" t="s">
        <v>467</v>
      </c>
      <c r="K74" s="119"/>
      <c r="L74" s="119"/>
      <c r="M74" s="119"/>
      <c r="N74" s="119"/>
      <c r="O74" s="119"/>
    </row>
    <row r="75" spans="1:15" ht="27.75" customHeight="1">
      <c r="A75" s="812" t="s">
        <v>510</v>
      </c>
      <c r="B75" s="812" t="s">
        <v>467</v>
      </c>
      <c r="C75" s="812" t="s">
        <v>467</v>
      </c>
      <c r="D75" s="812" t="s">
        <v>467</v>
      </c>
      <c r="E75" s="812" t="s">
        <v>467</v>
      </c>
      <c r="F75" s="812" t="s">
        <v>467</v>
      </c>
      <c r="G75" s="812" t="s">
        <v>467</v>
      </c>
      <c r="H75" s="812" t="s">
        <v>467</v>
      </c>
      <c r="I75" s="812" t="s">
        <v>467</v>
      </c>
      <c r="J75" s="812" t="s">
        <v>467</v>
      </c>
      <c r="K75" s="119"/>
      <c r="L75" s="119"/>
      <c r="M75" s="119"/>
      <c r="N75" s="119"/>
      <c r="O75" s="119"/>
    </row>
    <row r="76" spans="1:15" ht="34.5" customHeight="1">
      <c r="A76" s="120" t="s">
        <v>511</v>
      </c>
      <c r="B76" s="812" t="s">
        <v>1083</v>
      </c>
      <c r="C76" s="812" t="s">
        <v>467</v>
      </c>
      <c r="D76" s="812" t="s">
        <v>467</v>
      </c>
      <c r="E76" s="812" t="s">
        <v>467</v>
      </c>
      <c r="F76" s="812" t="s">
        <v>467</v>
      </c>
      <c r="G76" s="812" t="s">
        <v>467</v>
      </c>
      <c r="H76" s="812" t="s">
        <v>467</v>
      </c>
      <c r="I76" s="812" t="s">
        <v>467</v>
      </c>
      <c r="J76" s="812" t="s">
        <v>467</v>
      </c>
      <c r="K76" s="119"/>
      <c r="L76" s="119"/>
      <c r="M76" s="119"/>
      <c r="N76" s="119"/>
      <c r="O76" s="119"/>
    </row>
    <row r="77" spans="1:15" ht="27.75" customHeight="1">
      <c r="A77" s="110"/>
      <c r="B77" s="110"/>
      <c r="C77" s="110"/>
      <c r="D77" s="110"/>
      <c r="E77" s="110"/>
      <c r="F77" s="110"/>
      <c r="G77" s="110"/>
      <c r="H77" s="110"/>
      <c r="I77" s="110"/>
      <c r="J77" s="110"/>
      <c r="K77" s="119"/>
      <c r="L77" s="119"/>
      <c r="M77" s="119"/>
      <c r="N77" s="119"/>
      <c r="O77" s="119"/>
    </row>
    <row r="78" spans="1:15" ht="27.75" customHeight="1">
      <c r="A78" s="815" t="s">
        <v>512</v>
      </c>
      <c r="B78" s="815"/>
      <c r="C78" s="815"/>
      <c r="D78" s="815"/>
      <c r="E78" s="815"/>
      <c r="F78" s="815"/>
      <c r="G78" s="815"/>
      <c r="H78" s="815"/>
      <c r="I78" s="815"/>
      <c r="J78" s="815"/>
      <c r="K78" s="119"/>
      <c r="L78" s="119"/>
      <c r="M78" s="119"/>
      <c r="N78" s="119"/>
      <c r="O78" s="119"/>
    </row>
    <row r="79" spans="1:15" ht="27.75" customHeight="1">
      <c r="A79" s="125" t="s">
        <v>457</v>
      </c>
      <c r="B79" s="125" t="s">
        <v>513</v>
      </c>
      <c r="C79" s="125" t="s">
        <v>514</v>
      </c>
      <c r="D79" s="125" t="s">
        <v>515</v>
      </c>
      <c r="E79" s="840" t="s">
        <v>516</v>
      </c>
      <c r="F79" s="840"/>
      <c r="G79" s="840"/>
      <c r="H79" s="840"/>
      <c r="I79" s="840"/>
      <c r="J79" s="840"/>
      <c r="K79" s="119"/>
      <c r="L79" s="119"/>
      <c r="M79" s="119"/>
      <c r="N79" s="119"/>
      <c r="O79" s="119"/>
    </row>
    <row r="80" spans="1:15">
      <c r="A80" s="98" t="s">
        <v>467</v>
      </c>
      <c r="B80" s="98" t="s">
        <v>467</v>
      </c>
      <c r="C80" s="98" t="s">
        <v>467</v>
      </c>
      <c r="D80" s="98" t="s">
        <v>467</v>
      </c>
      <c r="E80" s="841" t="s">
        <v>467</v>
      </c>
      <c r="F80" s="841"/>
      <c r="G80" s="841"/>
      <c r="H80" s="841"/>
      <c r="I80" s="841"/>
      <c r="J80" s="841"/>
      <c r="K80" s="119"/>
      <c r="L80" s="119"/>
      <c r="M80" s="119"/>
      <c r="N80" s="119"/>
      <c r="O80" s="119"/>
    </row>
    <row r="81" spans="1:15">
      <c r="A81" s="98" t="s">
        <v>467</v>
      </c>
      <c r="B81" s="98" t="s">
        <v>467</v>
      </c>
      <c r="C81" s="98" t="s">
        <v>467</v>
      </c>
      <c r="D81" s="98" t="s">
        <v>467</v>
      </c>
      <c r="E81" s="841"/>
      <c r="F81" s="841"/>
      <c r="G81" s="841"/>
      <c r="H81" s="841"/>
      <c r="I81" s="841"/>
      <c r="J81" s="841"/>
      <c r="K81" s="119"/>
      <c r="L81" s="119"/>
      <c r="M81" s="119"/>
      <c r="N81" s="119"/>
      <c r="O81" s="119"/>
    </row>
    <row r="82" spans="1:15">
      <c r="A82" s="98" t="s">
        <v>467</v>
      </c>
      <c r="B82" s="98" t="s">
        <v>467</v>
      </c>
      <c r="C82" s="98" t="s">
        <v>467</v>
      </c>
      <c r="D82" s="98" t="s">
        <v>467</v>
      </c>
      <c r="E82" s="841"/>
      <c r="F82" s="841"/>
      <c r="G82" s="841"/>
      <c r="H82" s="841"/>
      <c r="I82" s="841"/>
      <c r="J82" s="841"/>
      <c r="K82" s="119"/>
      <c r="L82" s="119"/>
      <c r="M82" s="119"/>
      <c r="N82" s="119"/>
      <c r="O82" s="119"/>
    </row>
    <row r="83" spans="1:15">
      <c r="A83" s="98" t="s">
        <v>467</v>
      </c>
      <c r="B83" s="98" t="s">
        <v>467</v>
      </c>
      <c r="C83" s="98" t="s">
        <v>467</v>
      </c>
      <c r="D83" s="98" t="s">
        <v>467</v>
      </c>
      <c r="E83" s="841"/>
      <c r="F83" s="841"/>
      <c r="G83" s="841"/>
      <c r="H83" s="841"/>
      <c r="I83" s="841"/>
      <c r="J83" s="841"/>
      <c r="K83" s="119"/>
      <c r="L83" s="119"/>
      <c r="M83" s="119"/>
      <c r="N83" s="119"/>
      <c r="O83" s="119"/>
    </row>
    <row r="84" spans="1:15">
      <c r="A84" s="98" t="s">
        <v>467</v>
      </c>
      <c r="B84" s="98" t="s">
        <v>467</v>
      </c>
      <c r="C84" s="98" t="s">
        <v>467</v>
      </c>
      <c r="D84" s="98" t="s">
        <v>467</v>
      </c>
      <c r="E84" s="841"/>
      <c r="F84" s="841"/>
      <c r="G84" s="841"/>
      <c r="H84" s="841"/>
      <c r="I84" s="841"/>
      <c r="J84" s="841"/>
      <c r="K84" s="119"/>
      <c r="L84" s="119"/>
      <c r="M84" s="119"/>
      <c r="N84" s="119"/>
      <c r="O84" s="119"/>
    </row>
    <row r="85" spans="1:15">
      <c r="A85" s="126"/>
      <c r="B85" s="126"/>
      <c r="C85" s="126"/>
      <c r="D85" s="126"/>
      <c r="E85" s="841"/>
      <c r="F85" s="841"/>
      <c r="G85" s="841"/>
      <c r="H85" s="841"/>
      <c r="I85" s="841"/>
      <c r="J85" s="841"/>
      <c r="K85" s="119"/>
      <c r="L85" s="119"/>
      <c r="M85" s="119"/>
      <c r="N85" s="119"/>
      <c r="O85" s="119"/>
    </row>
    <row r="86" spans="1:15">
      <c r="A86" s="842"/>
      <c r="B86" s="843"/>
      <c r="C86" s="843"/>
      <c r="D86" s="843"/>
      <c r="E86" s="843"/>
      <c r="F86" s="843"/>
      <c r="G86" s="843"/>
      <c r="H86" s="843"/>
      <c r="I86" s="110"/>
      <c r="J86" s="110"/>
      <c r="K86" s="119"/>
      <c r="L86" s="119"/>
      <c r="M86" s="119"/>
      <c r="N86" s="119"/>
      <c r="O86" s="119"/>
    </row>
    <row r="87" spans="1:15">
      <c r="A87" s="815" t="s">
        <v>517</v>
      </c>
      <c r="B87" s="815"/>
      <c r="C87" s="815"/>
      <c r="D87" s="815"/>
      <c r="E87" s="815"/>
      <c r="F87" s="815"/>
      <c r="G87" s="815"/>
      <c r="H87" s="815"/>
      <c r="I87" s="815"/>
      <c r="J87" s="815"/>
      <c r="K87" s="119"/>
      <c r="L87" s="119"/>
      <c r="M87" s="119"/>
      <c r="N87" s="119"/>
      <c r="O87" s="119"/>
    </row>
    <row r="88" spans="1:15">
      <c r="A88" s="125" t="s">
        <v>457</v>
      </c>
      <c r="B88" s="125" t="s">
        <v>513</v>
      </c>
      <c r="C88" s="840" t="s">
        <v>515</v>
      </c>
      <c r="D88" s="840"/>
      <c r="E88" s="840" t="s">
        <v>518</v>
      </c>
      <c r="F88" s="840"/>
      <c r="G88" s="840"/>
      <c r="H88" s="840"/>
      <c r="I88" s="840"/>
      <c r="J88" s="840"/>
      <c r="K88" s="119"/>
      <c r="L88" s="119"/>
      <c r="M88" s="119"/>
      <c r="N88" s="119"/>
      <c r="O88" s="119"/>
    </row>
    <row r="89" spans="1:15">
      <c r="A89" s="126"/>
      <c r="B89" s="126"/>
      <c r="C89" s="828"/>
      <c r="D89" s="828"/>
      <c r="E89" s="828"/>
      <c r="F89" s="828"/>
      <c r="G89" s="828"/>
      <c r="H89" s="828"/>
      <c r="I89" s="828"/>
      <c r="J89" s="828"/>
      <c r="K89" s="119"/>
      <c r="L89" s="119"/>
      <c r="M89" s="119"/>
      <c r="N89" s="119"/>
      <c r="O89" s="119"/>
    </row>
    <row r="90" spans="1:15">
      <c r="A90" s="126"/>
      <c r="B90" s="126"/>
      <c r="C90" s="828"/>
      <c r="D90" s="828"/>
      <c r="E90" s="828"/>
      <c r="F90" s="828"/>
      <c r="G90" s="828"/>
      <c r="H90" s="828"/>
      <c r="I90" s="828"/>
      <c r="J90" s="828"/>
      <c r="K90" s="119"/>
      <c r="L90" s="119"/>
      <c r="M90" s="119"/>
      <c r="N90" s="119"/>
      <c r="O90" s="119"/>
    </row>
    <row r="91" spans="1:15">
      <c r="A91" s="126"/>
      <c r="B91" s="126"/>
      <c r="C91" s="828"/>
      <c r="D91" s="828"/>
      <c r="E91" s="828"/>
      <c r="F91" s="828"/>
      <c r="G91" s="828"/>
      <c r="H91" s="828"/>
      <c r="I91" s="828"/>
      <c r="J91" s="828"/>
      <c r="K91" s="119"/>
      <c r="L91" s="119"/>
      <c r="M91" s="119"/>
      <c r="N91" s="119"/>
      <c r="O91" s="119"/>
    </row>
    <row r="92" spans="1:15">
      <c r="A92" s="126"/>
      <c r="B92" s="126"/>
      <c r="C92" s="828"/>
      <c r="D92" s="828"/>
      <c r="E92" s="828"/>
      <c r="F92" s="828"/>
      <c r="G92" s="828"/>
      <c r="H92" s="828"/>
      <c r="I92" s="828"/>
      <c r="J92" s="828"/>
      <c r="K92" s="119"/>
      <c r="L92" s="119"/>
      <c r="M92" s="119"/>
      <c r="N92" s="119"/>
      <c r="O92" s="119"/>
    </row>
    <row r="93" spans="1:15">
      <c r="A93" s="126"/>
      <c r="B93" s="126"/>
      <c r="C93" s="828"/>
      <c r="D93" s="828"/>
      <c r="E93" s="828"/>
      <c r="F93" s="828"/>
      <c r="G93" s="828"/>
      <c r="H93" s="828"/>
      <c r="I93" s="828"/>
      <c r="J93" s="828"/>
      <c r="K93" s="119"/>
      <c r="L93" s="119"/>
      <c r="M93" s="119"/>
      <c r="N93" s="119"/>
      <c r="O93" s="119"/>
    </row>
    <row r="94" spans="1:15">
      <c r="A94" s="843"/>
      <c r="B94" s="843"/>
      <c r="C94" s="843"/>
      <c r="D94" s="843"/>
      <c r="E94" s="843"/>
      <c r="F94" s="843"/>
      <c r="G94" s="843"/>
      <c r="H94" s="118"/>
      <c r="I94" s="110"/>
      <c r="J94" s="110"/>
      <c r="K94" s="119"/>
      <c r="L94" s="119"/>
      <c r="M94" s="119"/>
      <c r="N94" s="119"/>
      <c r="O94" s="119"/>
    </row>
    <row r="95" spans="1:15">
      <c r="A95" s="815" t="s">
        <v>519</v>
      </c>
      <c r="B95" s="815"/>
      <c r="C95" s="815"/>
      <c r="D95" s="815"/>
      <c r="E95" s="815"/>
      <c r="F95" s="815"/>
      <c r="G95" s="815"/>
      <c r="H95" s="815"/>
      <c r="I95" s="815"/>
      <c r="J95" s="815"/>
      <c r="K95" s="119"/>
      <c r="L95" s="119"/>
      <c r="M95" s="119"/>
      <c r="N95" s="119"/>
      <c r="O95" s="119"/>
    </row>
    <row r="96" spans="1:15" ht="24" customHeight="1">
      <c r="A96" s="125" t="s">
        <v>457</v>
      </c>
      <c r="B96" s="125" t="s">
        <v>520</v>
      </c>
      <c r="C96" s="840" t="s">
        <v>521</v>
      </c>
      <c r="D96" s="840"/>
      <c r="E96" s="840" t="s">
        <v>522</v>
      </c>
      <c r="F96" s="840"/>
      <c r="G96" s="840"/>
      <c r="H96" s="840"/>
      <c r="I96" s="840"/>
      <c r="J96" s="840"/>
      <c r="K96" s="119"/>
      <c r="L96" s="119"/>
      <c r="M96" s="119"/>
      <c r="N96" s="119"/>
      <c r="O96" s="119"/>
    </row>
    <row r="97" spans="1:16">
      <c r="A97" s="98" t="s">
        <v>467</v>
      </c>
      <c r="B97" s="98" t="s">
        <v>467</v>
      </c>
      <c r="C97" s="844" t="s">
        <v>467</v>
      </c>
      <c r="D97" s="845"/>
      <c r="E97" s="841" t="s">
        <v>467</v>
      </c>
      <c r="F97" s="841"/>
      <c r="G97" s="841"/>
      <c r="H97" s="841"/>
      <c r="I97" s="841"/>
      <c r="J97" s="841"/>
      <c r="K97" s="119"/>
      <c r="L97" s="119"/>
      <c r="M97" s="119"/>
      <c r="N97" s="119"/>
      <c r="O97" s="119"/>
    </row>
    <row r="98" spans="1:16">
      <c r="A98" s="98" t="s">
        <v>467</v>
      </c>
      <c r="B98" s="98" t="s">
        <v>467</v>
      </c>
      <c r="C98" s="844"/>
      <c r="D98" s="845"/>
      <c r="E98" s="841"/>
      <c r="F98" s="841"/>
      <c r="G98" s="841"/>
      <c r="H98" s="841"/>
      <c r="I98" s="841"/>
      <c r="J98" s="841"/>
      <c r="K98" s="119"/>
      <c r="L98" s="119"/>
      <c r="M98" s="119"/>
      <c r="N98" s="119"/>
      <c r="O98" s="119"/>
    </row>
    <row r="99" spans="1:16">
      <c r="A99" s="98" t="s">
        <v>467</v>
      </c>
      <c r="B99" s="98" t="s">
        <v>467</v>
      </c>
      <c r="C99" s="844"/>
      <c r="D99" s="845"/>
      <c r="E99" s="841"/>
      <c r="F99" s="841"/>
      <c r="G99" s="841"/>
      <c r="H99" s="841"/>
      <c r="I99" s="841"/>
      <c r="J99" s="841"/>
      <c r="K99" s="119"/>
      <c r="L99" s="119"/>
      <c r="M99" s="119"/>
      <c r="N99" s="119"/>
      <c r="O99" s="119"/>
      <c r="P99" s="127"/>
    </row>
    <row r="100" spans="1:16">
      <c r="A100" s="98" t="s">
        <v>467</v>
      </c>
      <c r="B100" s="98" t="s">
        <v>467</v>
      </c>
      <c r="C100" s="844"/>
      <c r="D100" s="845"/>
      <c r="E100" s="841"/>
      <c r="F100" s="841"/>
      <c r="G100" s="841"/>
      <c r="H100" s="841"/>
      <c r="I100" s="841"/>
      <c r="J100" s="841"/>
      <c r="K100" s="119"/>
      <c r="L100" s="119"/>
      <c r="M100" s="119"/>
      <c r="N100" s="119"/>
      <c r="O100" s="119"/>
    </row>
    <row r="101" spans="1:16">
      <c r="A101" s="98" t="s">
        <v>467</v>
      </c>
      <c r="B101" s="98" t="s">
        <v>467</v>
      </c>
      <c r="C101" s="844"/>
      <c r="D101" s="845"/>
      <c r="E101" s="841"/>
      <c r="F101" s="841"/>
      <c r="G101" s="841"/>
      <c r="H101" s="841"/>
      <c r="I101" s="841"/>
      <c r="J101" s="841"/>
      <c r="K101" s="119"/>
      <c r="L101" s="119"/>
      <c r="M101" s="119"/>
      <c r="N101" s="119"/>
      <c r="O101" s="119"/>
    </row>
    <row r="102" spans="1:16">
      <c r="A102" s="126"/>
      <c r="B102" s="126"/>
      <c r="C102" s="844"/>
      <c r="D102" s="845"/>
      <c r="E102" s="841"/>
      <c r="F102" s="841"/>
      <c r="G102" s="841"/>
      <c r="H102" s="841"/>
      <c r="I102" s="841"/>
      <c r="J102" s="841"/>
      <c r="K102" s="119"/>
      <c r="L102" s="119"/>
      <c r="M102" s="119"/>
      <c r="N102" s="119"/>
      <c r="O102" s="119"/>
    </row>
    <row r="103" spans="1:16">
      <c r="A103" s="110"/>
      <c r="B103" s="110"/>
      <c r="C103" s="110"/>
      <c r="D103" s="110"/>
      <c r="E103" s="110"/>
      <c r="F103" s="110"/>
      <c r="G103" s="110"/>
      <c r="H103" s="110"/>
      <c r="I103" s="110"/>
      <c r="J103" s="110"/>
      <c r="K103" s="119"/>
      <c r="L103" s="119"/>
      <c r="M103" s="119"/>
      <c r="N103" s="119"/>
      <c r="O103" s="119"/>
    </row>
    <row r="104" spans="1:16">
      <c r="A104" s="815" t="s">
        <v>523</v>
      </c>
      <c r="B104" s="815"/>
      <c r="C104" s="815"/>
      <c r="D104" s="815"/>
      <c r="E104" s="815"/>
      <c r="F104" s="815"/>
      <c r="G104" s="815"/>
      <c r="H104" s="815"/>
      <c r="I104" s="815"/>
      <c r="J104" s="128"/>
      <c r="K104" s="128"/>
      <c r="L104" s="128"/>
      <c r="M104" s="128"/>
      <c r="N104" s="128"/>
      <c r="O104" s="128"/>
    </row>
    <row r="105" spans="1:16" ht="33" customHeight="1">
      <c r="A105" s="850" t="s">
        <v>521</v>
      </c>
      <c r="B105" s="850" t="s">
        <v>524</v>
      </c>
      <c r="C105" s="90" t="s">
        <v>389</v>
      </c>
      <c r="D105" s="90" t="s">
        <v>525</v>
      </c>
      <c r="E105" s="850" t="s">
        <v>526</v>
      </c>
      <c r="F105" s="850"/>
      <c r="G105" s="850"/>
      <c r="H105" s="850"/>
      <c r="I105" s="850"/>
      <c r="J105" s="91"/>
      <c r="K105" s="91"/>
      <c r="L105" s="91"/>
      <c r="M105" s="91"/>
      <c r="N105" s="91"/>
      <c r="O105" s="91"/>
    </row>
    <row r="106" spans="1:16" ht="90" customHeight="1">
      <c r="A106" s="850"/>
      <c r="B106" s="850"/>
      <c r="C106" s="90" t="s">
        <v>816</v>
      </c>
      <c r="D106" s="90" t="s">
        <v>527</v>
      </c>
      <c r="E106" s="850"/>
      <c r="F106" s="850"/>
      <c r="G106" s="850"/>
      <c r="H106" s="850"/>
      <c r="I106" s="850"/>
      <c r="J106" s="91"/>
      <c r="K106" s="91"/>
      <c r="L106" s="91"/>
      <c r="M106" s="91"/>
      <c r="N106" s="91"/>
      <c r="O106" s="91"/>
    </row>
    <row r="107" spans="1:16" ht="80.25" customHeight="1">
      <c r="A107" s="92" t="s">
        <v>528</v>
      </c>
      <c r="B107" s="93" t="s">
        <v>814</v>
      </c>
      <c r="C107" s="94" t="s">
        <v>390</v>
      </c>
      <c r="D107" s="95" t="s">
        <v>529</v>
      </c>
      <c r="E107" s="846" t="s">
        <v>467</v>
      </c>
      <c r="F107" s="847"/>
      <c r="G107" s="847"/>
      <c r="H107" s="847"/>
      <c r="I107" s="848"/>
      <c r="J107" s="96"/>
      <c r="K107" s="96"/>
      <c r="L107" s="96"/>
      <c r="M107" s="96"/>
      <c r="N107" s="96"/>
      <c r="O107" s="96"/>
    </row>
    <row r="108" spans="1:16" ht="93.75" customHeight="1">
      <c r="A108" s="97" t="s">
        <v>530</v>
      </c>
      <c r="B108" s="98" t="s">
        <v>815</v>
      </c>
      <c r="C108" s="94" t="s">
        <v>390</v>
      </c>
      <c r="D108" s="99" t="s">
        <v>529</v>
      </c>
      <c r="E108" s="846"/>
      <c r="F108" s="847"/>
      <c r="G108" s="847"/>
      <c r="H108" s="847"/>
      <c r="I108" s="848"/>
      <c r="J108" s="96"/>
      <c r="K108" s="96"/>
      <c r="L108" s="96"/>
      <c r="M108" s="96"/>
      <c r="N108" s="96"/>
      <c r="O108" s="96"/>
    </row>
    <row r="109" spans="1:16" ht="18.75">
      <c r="A109" s="97" t="s">
        <v>531</v>
      </c>
      <c r="B109" s="98" t="s">
        <v>392</v>
      </c>
      <c r="C109" s="94" t="s">
        <v>390</v>
      </c>
      <c r="D109" s="99" t="s">
        <v>529</v>
      </c>
      <c r="E109" s="846"/>
      <c r="F109" s="847"/>
      <c r="G109" s="847"/>
      <c r="H109" s="847"/>
      <c r="I109" s="848"/>
      <c r="J109" s="96"/>
      <c r="K109" s="96"/>
      <c r="L109" s="96"/>
      <c r="M109" s="96"/>
      <c r="N109" s="96"/>
      <c r="O109" s="96"/>
    </row>
    <row r="110" spans="1:16" ht="30">
      <c r="A110" s="97" t="s">
        <v>532</v>
      </c>
      <c r="B110" s="98" t="s">
        <v>393</v>
      </c>
      <c r="C110" s="94" t="s">
        <v>390</v>
      </c>
      <c r="D110" s="99" t="s">
        <v>529</v>
      </c>
      <c r="E110" s="846"/>
      <c r="F110" s="847"/>
      <c r="G110" s="847"/>
      <c r="H110" s="847"/>
      <c r="I110" s="848"/>
      <c r="J110" s="96"/>
      <c r="K110" s="96"/>
      <c r="L110" s="96"/>
      <c r="M110" s="96"/>
      <c r="N110" s="96"/>
      <c r="O110" s="96"/>
    </row>
    <row r="111" spans="1:16" ht="45">
      <c r="A111" s="97" t="s">
        <v>533</v>
      </c>
      <c r="B111" s="98" t="s">
        <v>534</v>
      </c>
      <c r="C111" s="94" t="s">
        <v>390</v>
      </c>
      <c r="D111" s="99" t="s">
        <v>529</v>
      </c>
      <c r="E111" s="846"/>
      <c r="F111" s="847"/>
      <c r="G111" s="847"/>
      <c r="H111" s="847"/>
      <c r="I111" s="848"/>
      <c r="J111" s="96"/>
      <c r="K111" s="96"/>
      <c r="L111" s="96"/>
      <c r="M111" s="96"/>
      <c r="N111" s="96"/>
      <c r="O111" s="96"/>
    </row>
    <row r="112" spans="1:16" ht="74.099999999999994" customHeight="1">
      <c r="A112" s="97" t="s">
        <v>535</v>
      </c>
      <c r="B112" s="98" t="s">
        <v>536</v>
      </c>
      <c r="C112" s="94" t="s">
        <v>390</v>
      </c>
      <c r="D112" s="99" t="s">
        <v>529</v>
      </c>
      <c r="E112" s="846"/>
      <c r="F112" s="847"/>
      <c r="G112" s="847"/>
      <c r="H112" s="847"/>
      <c r="I112" s="848"/>
      <c r="J112" s="96"/>
      <c r="K112" s="96"/>
      <c r="L112" s="96"/>
      <c r="M112" s="96"/>
      <c r="N112" s="96"/>
      <c r="O112" s="96"/>
    </row>
    <row r="113" spans="1:15" ht="45">
      <c r="A113" s="97" t="s">
        <v>537</v>
      </c>
      <c r="B113" s="98" t="s">
        <v>538</v>
      </c>
      <c r="C113" s="94" t="s">
        <v>390</v>
      </c>
      <c r="D113" s="99" t="s">
        <v>529</v>
      </c>
      <c r="E113" s="846"/>
      <c r="F113" s="847"/>
      <c r="G113" s="847"/>
      <c r="H113" s="847"/>
      <c r="I113" s="848"/>
      <c r="J113" s="96"/>
      <c r="K113" s="96"/>
      <c r="L113" s="96"/>
      <c r="M113" s="96"/>
      <c r="N113" s="96"/>
      <c r="O113" s="96"/>
    </row>
    <row r="114" spans="1:15" ht="45">
      <c r="A114" s="97">
        <v>6.1</v>
      </c>
      <c r="B114" s="98" t="s">
        <v>539</v>
      </c>
      <c r="C114" s="94" t="s">
        <v>390</v>
      </c>
      <c r="D114" s="99" t="s">
        <v>529</v>
      </c>
      <c r="E114" s="846"/>
      <c r="F114" s="847"/>
      <c r="G114" s="847"/>
      <c r="H114" s="847"/>
      <c r="I114" s="848"/>
      <c r="J114" s="96"/>
      <c r="K114" s="96"/>
      <c r="L114" s="96"/>
      <c r="M114" s="96"/>
      <c r="N114" s="96"/>
      <c r="O114" s="96"/>
    </row>
    <row r="115" spans="1:15" ht="45">
      <c r="A115" s="97" t="s">
        <v>540</v>
      </c>
      <c r="B115" s="98" t="s">
        <v>541</v>
      </c>
      <c r="C115" s="94" t="s">
        <v>390</v>
      </c>
      <c r="D115" s="99" t="s">
        <v>529</v>
      </c>
      <c r="E115" s="846"/>
      <c r="F115" s="847"/>
      <c r="G115" s="847"/>
      <c r="H115" s="847"/>
      <c r="I115" s="848"/>
      <c r="J115" s="96"/>
      <c r="K115" s="96"/>
      <c r="L115" s="96"/>
      <c r="M115" s="96"/>
      <c r="N115" s="96"/>
      <c r="O115" s="96"/>
    </row>
    <row r="116" spans="1:15" ht="30">
      <c r="A116" s="97" t="s">
        <v>542</v>
      </c>
      <c r="B116" s="98" t="s">
        <v>543</v>
      </c>
      <c r="C116" s="94" t="s">
        <v>390</v>
      </c>
      <c r="D116" s="99" t="s">
        <v>529</v>
      </c>
      <c r="E116" s="846"/>
      <c r="F116" s="847"/>
      <c r="G116" s="847"/>
      <c r="H116" s="847"/>
      <c r="I116" s="848"/>
      <c r="J116" s="96"/>
      <c r="K116" s="96"/>
      <c r="L116" s="96"/>
      <c r="M116" s="96"/>
      <c r="N116" s="96"/>
      <c r="O116" s="96"/>
    </row>
    <row r="117" spans="1:15" ht="135">
      <c r="A117" s="97" t="s">
        <v>544</v>
      </c>
      <c r="B117" s="98" t="s">
        <v>545</v>
      </c>
      <c r="C117" s="94" t="s">
        <v>390</v>
      </c>
      <c r="D117" s="99" t="s">
        <v>529</v>
      </c>
      <c r="E117" s="846"/>
      <c r="F117" s="847"/>
      <c r="G117" s="847"/>
      <c r="H117" s="847"/>
      <c r="I117" s="848"/>
      <c r="J117" s="96"/>
      <c r="K117" s="96"/>
      <c r="L117" s="96"/>
      <c r="M117" s="96"/>
      <c r="N117" s="96"/>
      <c r="O117" s="96"/>
    </row>
    <row r="118" spans="1:15" ht="30">
      <c r="A118" s="97" t="s">
        <v>546</v>
      </c>
      <c r="B118" s="98" t="s">
        <v>547</v>
      </c>
      <c r="C118" s="94" t="s">
        <v>390</v>
      </c>
      <c r="D118" s="99" t="s">
        <v>529</v>
      </c>
      <c r="E118" s="846"/>
      <c r="F118" s="847"/>
      <c r="G118" s="847"/>
      <c r="H118" s="847"/>
      <c r="I118" s="848"/>
      <c r="J118" s="96"/>
      <c r="K118" s="96"/>
      <c r="L118" s="96"/>
      <c r="M118" s="96"/>
      <c r="N118" s="96"/>
      <c r="O118" s="96"/>
    </row>
    <row r="119" spans="1:15" ht="30">
      <c r="A119" s="97" t="s">
        <v>548</v>
      </c>
      <c r="B119" s="98" t="s">
        <v>549</v>
      </c>
      <c r="C119" s="94" t="s">
        <v>390</v>
      </c>
      <c r="D119" s="99" t="s">
        <v>529</v>
      </c>
      <c r="E119" s="846"/>
      <c r="F119" s="847"/>
      <c r="G119" s="847"/>
      <c r="H119" s="847"/>
      <c r="I119" s="848"/>
      <c r="J119" s="96"/>
      <c r="K119" s="96"/>
      <c r="L119" s="96"/>
      <c r="M119" s="96"/>
      <c r="N119" s="96"/>
      <c r="O119" s="96"/>
    </row>
    <row r="120" spans="1:15" ht="30">
      <c r="A120" s="97" t="s">
        <v>550</v>
      </c>
      <c r="B120" s="98" t="s">
        <v>551</v>
      </c>
      <c r="C120" s="94" t="s">
        <v>390</v>
      </c>
      <c r="D120" s="99" t="s">
        <v>529</v>
      </c>
      <c r="E120" s="846"/>
      <c r="F120" s="847"/>
      <c r="G120" s="847"/>
      <c r="H120" s="847"/>
      <c r="I120" s="848"/>
      <c r="J120" s="96"/>
      <c r="K120" s="96"/>
      <c r="L120" s="96"/>
      <c r="M120" s="96"/>
      <c r="N120" s="96"/>
      <c r="O120" s="96"/>
    </row>
    <row r="121" spans="1:15" ht="75">
      <c r="A121" s="97" t="s">
        <v>552</v>
      </c>
      <c r="B121" s="98" t="s">
        <v>553</v>
      </c>
      <c r="C121" s="94" t="s">
        <v>390</v>
      </c>
      <c r="D121" s="99" t="s">
        <v>529</v>
      </c>
      <c r="E121" s="846"/>
      <c r="F121" s="847"/>
      <c r="G121" s="847"/>
      <c r="H121" s="847"/>
      <c r="I121" s="848"/>
      <c r="J121" s="96"/>
      <c r="K121" s="96"/>
      <c r="L121" s="96"/>
      <c r="M121" s="96"/>
      <c r="N121" s="96"/>
      <c r="O121" s="96"/>
    </row>
    <row r="122" spans="1:15" ht="30">
      <c r="A122" s="97" t="s">
        <v>554</v>
      </c>
      <c r="B122" s="98" t="s">
        <v>555</v>
      </c>
      <c r="C122" s="94" t="s">
        <v>390</v>
      </c>
      <c r="D122" s="99" t="s">
        <v>529</v>
      </c>
      <c r="E122" s="846"/>
      <c r="F122" s="847"/>
      <c r="G122" s="847"/>
      <c r="H122" s="847"/>
      <c r="I122" s="848"/>
      <c r="J122" s="96"/>
      <c r="K122" s="96"/>
      <c r="L122" s="96"/>
      <c r="M122" s="96"/>
      <c r="N122" s="96"/>
      <c r="O122" s="96"/>
    </row>
    <row r="123" spans="1:15" ht="150" customHeight="1">
      <c r="A123" s="97" t="s">
        <v>556</v>
      </c>
      <c r="B123" s="98" t="s">
        <v>557</v>
      </c>
      <c r="C123" s="94" t="s">
        <v>390</v>
      </c>
      <c r="D123" s="99" t="s">
        <v>529</v>
      </c>
      <c r="E123" s="846"/>
      <c r="F123" s="847"/>
      <c r="G123" s="847"/>
      <c r="H123" s="847"/>
      <c r="I123" s="848"/>
      <c r="J123" s="96"/>
      <c r="K123" s="96"/>
      <c r="L123" s="96"/>
      <c r="M123" s="96"/>
      <c r="N123" s="96"/>
      <c r="O123" s="96"/>
    </row>
    <row r="124" spans="1:15" ht="195">
      <c r="A124" s="97" t="s">
        <v>558</v>
      </c>
      <c r="B124" s="98" t="s">
        <v>559</v>
      </c>
      <c r="C124" s="94" t="s">
        <v>390</v>
      </c>
      <c r="D124" s="99" t="s">
        <v>529</v>
      </c>
      <c r="E124" s="846"/>
      <c r="F124" s="847"/>
      <c r="G124" s="847"/>
      <c r="H124" s="847"/>
      <c r="I124" s="848"/>
      <c r="J124" s="96"/>
      <c r="K124" s="96"/>
      <c r="L124" s="96"/>
      <c r="M124" s="96"/>
      <c r="N124" s="96"/>
      <c r="O124" s="96"/>
    </row>
    <row r="125" spans="1:15" ht="90">
      <c r="A125" s="97" t="s">
        <v>560</v>
      </c>
      <c r="B125" s="98" t="s">
        <v>561</v>
      </c>
      <c r="C125" s="94" t="s">
        <v>390</v>
      </c>
      <c r="D125" s="99" t="s">
        <v>529</v>
      </c>
      <c r="E125" s="846"/>
      <c r="F125" s="847"/>
      <c r="G125" s="847"/>
      <c r="H125" s="847"/>
      <c r="I125" s="848"/>
      <c r="J125" s="96"/>
      <c r="K125" s="96"/>
      <c r="L125" s="96"/>
      <c r="M125" s="96"/>
      <c r="N125" s="96"/>
      <c r="O125" s="96"/>
    </row>
    <row r="126" spans="1:15" ht="135">
      <c r="A126" s="97" t="s">
        <v>562</v>
      </c>
      <c r="B126" s="98" t="s">
        <v>563</v>
      </c>
      <c r="C126" s="94" t="s">
        <v>390</v>
      </c>
      <c r="D126" s="99" t="s">
        <v>529</v>
      </c>
      <c r="E126" s="846"/>
      <c r="F126" s="847"/>
      <c r="G126" s="847"/>
      <c r="H126" s="847"/>
      <c r="I126" s="848"/>
      <c r="J126" s="96"/>
      <c r="K126" s="96"/>
      <c r="L126" s="96"/>
      <c r="M126" s="96"/>
      <c r="N126" s="96"/>
      <c r="O126" s="96"/>
    </row>
    <row r="127" spans="1:15" ht="30">
      <c r="A127" s="97" t="s">
        <v>564</v>
      </c>
      <c r="B127" s="98" t="s">
        <v>565</v>
      </c>
      <c r="C127" s="94" t="s">
        <v>390</v>
      </c>
      <c r="D127" s="99" t="s">
        <v>529</v>
      </c>
      <c r="E127" s="846"/>
      <c r="F127" s="847"/>
      <c r="G127" s="847"/>
      <c r="H127" s="847"/>
      <c r="I127" s="848"/>
      <c r="J127" s="96"/>
      <c r="K127" s="96"/>
      <c r="L127" s="96"/>
      <c r="M127" s="96"/>
      <c r="N127" s="96"/>
      <c r="O127" s="96"/>
    </row>
    <row r="128" spans="1:15" ht="30">
      <c r="A128" s="97" t="s">
        <v>566</v>
      </c>
      <c r="B128" s="98" t="s">
        <v>567</v>
      </c>
      <c r="C128" s="94" t="s">
        <v>390</v>
      </c>
      <c r="D128" s="99" t="s">
        <v>529</v>
      </c>
      <c r="E128" s="846"/>
      <c r="F128" s="847"/>
      <c r="G128" s="847"/>
      <c r="H128" s="847"/>
      <c r="I128" s="848"/>
      <c r="J128" s="96"/>
      <c r="K128" s="96"/>
      <c r="L128" s="96"/>
      <c r="M128" s="96"/>
      <c r="N128" s="96"/>
      <c r="O128" s="96"/>
    </row>
    <row r="129" spans="1:15" ht="90">
      <c r="A129" s="97" t="s">
        <v>568</v>
      </c>
      <c r="B129" s="98" t="s">
        <v>569</v>
      </c>
      <c r="C129" s="94" t="s">
        <v>390</v>
      </c>
      <c r="D129" s="99" t="s">
        <v>529</v>
      </c>
      <c r="E129" s="846"/>
      <c r="F129" s="847"/>
      <c r="G129" s="847"/>
      <c r="H129" s="847"/>
      <c r="I129" s="848"/>
      <c r="J129" s="96"/>
      <c r="K129" s="96"/>
      <c r="L129" s="96"/>
      <c r="M129" s="96"/>
      <c r="N129" s="96"/>
      <c r="O129" s="96"/>
    </row>
    <row r="130" spans="1:15" ht="45">
      <c r="A130" s="97" t="s">
        <v>570</v>
      </c>
      <c r="B130" s="98" t="s">
        <v>571</v>
      </c>
      <c r="C130" s="94" t="s">
        <v>390</v>
      </c>
      <c r="D130" s="99" t="s">
        <v>529</v>
      </c>
      <c r="E130" s="846"/>
      <c r="F130" s="847"/>
      <c r="G130" s="847"/>
      <c r="H130" s="847"/>
      <c r="I130" s="848"/>
      <c r="J130" s="96"/>
      <c r="K130" s="96"/>
      <c r="L130" s="96"/>
      <c r="M130" s="96"/>
      <c r="N130" s="96"/>
      <c r="O130" s="96"/>
    </row>
    <row r="131" spans="1:15" ht="60">
      <c r="A131" s="97" t="s">
        <v>572</v>
      </c>
      <c r="B131" s="98" t="s">
        <v>573</v>
      </c>
      <c r="C131" s="94" t="s">
        <v>390</v>
      </c>
      <c r="D131" s="99" t="s">
        <v>529</v>
      </c>
      <c r="E131" s="846"/>
      <c r="F131" s="847"/>
      <c r="G131" s="847"/>
      <c r="H131" s="847"/>
      <c r="I131" s="848"/>
      <c r="J131" s="96"/>
      <c r="K131" s="96"/>
      <c r="L131" s="96"/>
      <c r="M131" s="96"/>
      <c r="N131" s="96"/>
      <c r="O131" s="96"/>
    </row>
    <row r="132" spans="1:15" ht="30">
      <c r="A132" s="97" t="s">
        <v>574</v>
      </c>
      <c r="B132" s="98" t="s">
        <v>575</v>
      </c>
      <c r="C132" s="94" t="s">
        <v>390</v>
      </c>
      <c r="D132" s="99" t="s">
        <v>529</v>
      </c>
      <c r="E132" s="846"/>
      <c r="F132" s="847"/>
      <c r="G132" s="847"/>
      <c r="H132" s="847"/>
      <c r="I132" s="848"/>
      <c r="J132" s="96"/>
      <c r="K132" s="96"/>
      <c r="L132" s="96"/>
      <c r="M132" s="96"/>
      <c r="N132" s="96"/>
      <c r="O132" s="96"/>
    </row>
    <row r="133" spans="1:15" ht="42.95" customHeight="1">
      <c r="A133" s="97" t="s">
        <v>576</v>
      </c>
      <c r="B133" s="98" t="s">
        <v>577</v>
      </c>
      <c r="C133" s="94" t="s">
        <v>390</v>
      </c>
      <c r="D133" s="99" t="s">
        <v>529</v>
      </c>
      <c r="E133" s="846"/>
      <c r="F133" s="847"/>
      <c r="G133" s="847"/>
      <c r="H133" s="847"/>
      <c r="I133" s="848"/>
      <c r="J133" s="96"/>
      <c r="K133" s="96"/>
      <c r="L133" s="96"/>
      <c r="M133" s="96"/>
      <c r="N133" s="96"/>
      <c r="O133" s="96"/>
    </row>
    <row r="134" spans="1:15" ht="30">
      <c r="A134" s="100" t="s">
        <v>578</v>
      </c>
      <c r="B134" s="101" t="s">
        <v>579</v>
      </c>
      <c r="C134" s="102" t="s">
        <v>390</v>
      </c>
      <c r="D134" s="99" t="s">
        <v>529</v>
      </c>
      <c r="E134" s="853"/>
      <c r="F134" s="853"/>
      <c r="G134" s="853"/>
      <c r="H134" s="853"/>
      <c r="I134" s="853"/>
      <c r="J134" s="96"/>
      <c r="K134" s="96"/>
      <c r="L134" s="96"/>
      <c r="M134" s="96"/>
      <c r="N134" s="96"/>
      <c r="O134" s="96"/>
    </row>
    <row r="135" spans="1:15">
      <c r="A135" s="849" t="s">
        <v>580</v>
      </c>
      <c r="B135" s="849"/>
      <c r="C135" s="849"/>
      <c r="D135" s="849"/>
      <c r="E135" s="849"/>
      <c r="F135" s="849"/>
      <c r="G135" s="103"/>
      <c r="H135" s="103"/>
      <c r="I135" s="103"/>
      <c r="J135" s="103"/>
      <c r="K135" s="103"/>
      <c r="L135" s="103"/>
      <c r="M135" s="103"/>
    </row>
  </sheetData>
  <sheetProtection selectLockedCells="1"/>
  <mergeCells count="196">
    <mergeCell ref="A135:F135"/>
    <mergeCell ref="A105:A106"/>
    <mergeCell ref="B105:B106"/>
    <mergeCell ref="A24:J25"/>
    <mergeCell ref="A31:J33"/>
    <mergeCell ref="A27:J28"/>
    <mergeCell ref="E105:I106"/>
    <mergeCell ref="E126:I126"/>
    <mergeCell ref="E127:I127"/>
    <mergeCell ref="E128:I128"/>
    <mergeCell ref="E129:I129"/>
    <mergeCell ref="E130:I130"/>
    <mergeCell ref="E131:I131"/>
    <mergeCell ref="E132:I132"/>
    <mergeCell ref="E133:I133"/>
    <mergeCell ref="E134:I134"/>
    <mergeCell ref="E117:I117"/>
    <mergeCell ref="E118:I118"/>
    <mergeCell ref="E119:I119"/>
    <mergeCell ref="E120:I120"/>
    <mergeCell ref="E121:I121"/>
    <mergeCell ref="E122:I122"/>
    <mergeCell ref="E123:I123"/>
    <mergeCell ref="E124:I124"/>
    <mergeCell ref="E125:I125"/>
    <mergeCell ref="E108:I108"/>
    <mergeCell ref="E109:I109"/>
    <mergeCell ref="E110:I110"/>
    <mergeCell ref="E111:I111"/>
    <mergeCell ref="E112:I112"/>
    <mergeCell ref="E113:I113"/>
    <mergeCell ref="E114:I114"/>
    <mergeCell ref="E115:I115"/>
    <mergeCell ref="E116:I116"/>
    <mergeCell ref="C99:D99"/>
    <mergeCell ref="E99:J99"/>
    <mergeCell ref="C100:D100"/>
    <mergeCell ref="E100:J100"/>
    <mergeCell ref="C101:D101"/>
    <mergeCell ref="E101:J101"/>
    <mergeCell ref="C102:D102"/>
    <mergeCell ref="E102:J102"/>
    <mergeCell ref="E107:I107"/>
    <mergeCell ref="A104:I104"/>
    <mergeCell ref="C93:D93"/>
    <mergeCell ref="E93:J93"/>
    <mergeCell ref="A94:G94"/>
    <mergeCell ref="A95:J95"/>
    <mergeCell ref="C96:D96"/>
    <mergeCell ref="E96:J96"/>
    <mergeCell ref="C97:D97"/>
    <mergeCell ref="E97:J97"/>
    <mergeCell ref="C98:D98"/>
    <mergeCell ref="E98:J98"/>
    <mergeCell ref="C88:D88"/>
    <mergeCell ref="E88:J88"/>
    <mergeCell ref="C89:D89"/>
    <mergeCell ref="E89:J89"/>
    <mergeCell ref="C90:D90"/>
    <mergeCell ref="E90:J90"/>
    <mergeCell ref="C91:D91"/>
    <mergeCell ref="E91:J91"/>
    <mergeCell ref="C92:D92"/>
    <mergeCell ref="E92:J92"/>
    <mergeCell ref="E79:J79"/>
    <mergeCell ref="E80:J80"/>
    <mergeCell ref="E81:J81"/>
    <mergeCell ref="E82:J82"/>
    <mergeCell ref="E83:J83"/>
    <mergeCell ref="E84:J84"/>
    <mergeCell ref="E85:J85"/>
    <mergeCell ref="A86:H86"/>
    <mergeCell ref="A87:J87"/>
    <mergeCell ref="B42:C42"/>
    <mergeCell ref="E42:F42"/>
    <mergeCell ref="H42:J42"/>
    <mergeCell ref="A72:J72"/>
    <mergeCell ref="A73:J73"/>
    <mergeCell ref="A74:J74"/>
    <mergeCell ref="A75:J75"/>
    <mergeCell ref="B76:J76"/>
    <mergeCell ref="A78:J78"/>
    <mergeCell ref="A44:E44"/>
    <mergeCell ref="F44:J44"/>
    <mergeCell ref="A45:E45"/>
    <mergeCell ref="F45:J45"/>
    <mergeCell ref="A46:E46"/>
    <mergeCell ref="F46:J46"/>
    <mergeCell ref="A47:E47"/>
    <mergeCell ref="F47:J47"/>
    <mergeCell ref="A48:E48"/>
    <mergeCell ref="F48:J48"/>
    <mergeCell ref="A49:E49"/>
    <mergeCell ref="F49:J49"/>
    <mergeCell ref="A50:E50"/>
    <mergeCell ref="F50:J50"/>
    <mergeCell ref="A51:E51"/>
    <mergeCell ref="A35:J35"/>
    <mergeCell ref="B36:E36"/>
    <mergeCell ref="G36:J36"/>
    <mergeCell ref="B37:E37"/>
    <mergeCell ref="G37:J37"/>
    <mergeCell ref="B38:E38"/>
    <mergeCell ref="G38:J38"/>
    <mergeCell ref="A40:J40"/>
    <mergeCell ref="B41:C41"/>
    <mergeCell ref="E41:F41"/>
    <mergeCell ref="H41:J41"/>
    <mergeCell ref="A20:B20"/>
    <mergeCell ref="C20:E20"/>
    <mergeCell ref="F20:H20"/>
    <mergeCell ref="I20:J20"/>
    <mergeCell ref="A21:H21"/>
    <mergeCell ref="I21:J21"/>
    <mergeCell ref="A23:J23"/>
    <mergeCell ref="A26:J26"/>
    <mergeCell ref="A30:J30"/>
    <mergeCell ref="A17:B17"/>
    <mergeCell ref="C17:E17"/>
    <mergeCell ref="F17:H17"/>
    <mergeCell ref="I17:J17"/>
    <mergeCell ref="A18:B18"/>
    <mergeCell ref="C18:E18"/>
    <mergeCell ref="F18:H18"/>
    <mergeCell ref="I18:J18"/>
    <mergeCell ref="A19:B19"/>
    <mergeCell ref="C19:E19"/>
    <mergeCell ref="F19:H19"/>
    <mergeCell ref="I19:J19"/>
    <mergeCell ref="A14:J14"/>
    <mergeCell ref="A15:B15"/>
    <mergeCell ref="C15:E15"/>
    <mergeCell ref="F15:H15"/>
    <mergeCell ref="I15:J15"/>
    <mergeCell ref="A16:B16"/>
    <mergeCell ref="C16:E16"/>
    <mergeCell ref="F16:H16"/>
    <mergeCell ref="I16:J16"/>
    <mergeCell ref="C8:E8"/>
    <mergeCell ref="I8:J8"/>
    <mergeCell ref="C9:E9"/>
    <mergeCell ref="I9:J9"/>
    <mergeCell ref="C10:E10"/>
    <mergeCell ref="I10:J10"/>
    <mergeCell ref="C11:E11"/>
    <mergeCell ref="I11:J11"/>
    <mergeCell ref="C12:E12"/>
    <mergeCell ref="F12:J12"/>
    <mergeCell ref="A1:J1"/>
    <mergeCell ref="A2:J2"/>
    <mergeCell ref="A4:J4"/>
    <mergeCell ref="C5:E5"/>
    <mergeCell ref="H5:J5"/>
    <mergeCell ref="C6:E6"/>
    <mergeCell ref="I6:J6"/>
    <mergeCell ref="C7:E7"/>
    <mergeCell ref="I7:J7"/>
    <mergeCell ref="F51:J51"/>
    <mergeCell ref="A52:E52"/>
    <mergeCell ref="F52:J52"/>
    <mergeCell ref="A53:E53"/>
    <mergeCell ref="F53:J53"/>
    <mergeCell ref="A54:E54"/>
    <mergeCell ref="F54:J54"/>
    <mergeCell ref="A55:E55"/>
    <mergeCell ref="F55:J55"/>
    <mergeCell ref="A56:E56"/>
    <mergeCell ref="F56:J56"/>
    <mergeCell ref="A57:E57"/>
    <mergeCell ref="F57:J57"/>
    <mergeCell ref="A58:E58"/>
    <mergeCell ref="F58:J58"/>
    <mergeCell ref="A59:E59"/>
    <mergeCell ref="F59:J59"/>
    <mergeCell ref="A60:E60"/>
    <mergeCell ref="F60:J60"/>
    <mergeCell ref="A61:E61"/>
    <mergeCell ref="F61:J61"/>
    <mergeCell ref="A62:E62"/>
    <mergeCell ref="F62:J62"/>
    <mergeCell ref="A63:E63"/>
    <mergeCell ref="F63:J63"/>
    <mergeCell ref="A64:E64"/>
    <mergeCell ref="F64:J64"/>
    <mergeCell ref="A65:E65"/>
    <mergeCell ref="F65:J65"/>
    <mergeCell ref="A66:E66"/>
    <mergeCell ref="F66:J66"/>
    <mergeCell ref="A67:E67"/>
    <mergeCell ref="F67:J67"/>
    <mergeCell ref="A68:E68"/>
    <mergeCell ref="F68:J68"/>
    <mergeCell ref="A69:E69"/>
    <mergeCell ref="F69:J69"/>
    <mergeCell ref="A70:E70"/>
    <mergeCell ref="F70:J70"/>
  </mergeCells>
  <conditionalFormatting sqref="D107:D134">
    <cfRule type="expression" dxfId="8" priority="1">
      <formula>D107="C"</formula>
    </cfRule>
    <cfRule type="expression" dxfId="7" priority="2">
      <formula>D107="NC"</formula>
    </cfRule>
    <cfRule type="expression" dxfId="6" priority="3">
      <formula>D107="O"</formula>
    </cfRule>
    <cfRule type="expression" dxfId="5" priority="4">
      <formula>D107="OFI"</formula>
    </cfRule>
    <cfRule type="expression" dxfId="4" priority="5">
      <formula>D107="N/A"</formula>
    </cfRule>
  </conditionalFormatting>
  <dataValidations count="4">
    <dataValidation type="list" allowBlank="1" showInputMessage="1" showErrorMessage="1" sqref="N36" xr:uid="{00000000-0002-0000-0700-000000000000}">
      <formula1>"01, 02, 0"</formula1>
    </dataValidation>
    <dataValidation type="list" allowBlank="1" showInputMessage="1" showErrorMessage="1" sqref="N37" xr:uid="{00000000-0002-0000-0700-000001000000}">
      <formula1>"0"</formula1>
    </dataValidation>
    <dataValidation type="list" sqref="C107:C134" xr:uid="{00000000-0002-0000-0700-000002000000}">
      <formula1>"□,☑,N/A"</formula1>
    </dataValidation>
    <dataValidation type="list" allowBlank="1" showInputMessage="1" showErrorMessage="1" sqref="N40:N43 K44 N45:N72" xr:uid="{00000000-0002-0000-0700-000003000000}">
      <formula1>#REF!</formula1>
    </dataValidation>
  </dataValidations>
  <pageMargins left="0.62992125984252001" right="0.27559055118110198" top="1.02362204724409" bottom="0.74803149606299202" header="0.31496062992126" footer="0.31496062992126"/>
  <pageSetup paperSize="9" scale="81" fitToHeight="0" pageOrder="overThenDown" orientation="portrait" r:id="rId1"/>
  <headerFooter>
    <oddHeader>&amp;L&amp;G</oddHeader>
    <oddFooter>&amp;CPage &amp;P</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A77"/>
  <sheetViews>
    <sheetView topLeftCell="A37" workbookViewId="0">
      <selection activeCell="A13" sqref="A13:J15"/>
    </sheetView>
  </sheetViews>
  <sheetFormatPr defaultColWidth="8.625" defaultRowHeight="15"/>
  <cols>
    <col min="1" max="1" width="8.625" style="6"/>
    <col min="2" max="2" width="18.125" style="6" customWidth="1"/>
    <col min="3" max="9" width="8.625" style="6"/>
    <col min="10" max="10" width="14.5" style="6" customWidth="1"/>
    <col min="11" max="13" width="8.625" style="3"/>
    <col min="14" max="14" width="17.625" style="3" customWidth="1"/>
    <col min="15" max="26" width="8.625" style="3"/>
    <col min="27" max="27" width="25.125" style="3" customWidth="1"/>
    <col min="28" max="16384" width="8.625" style="3"/>
  </cols>
  <sheetData>
    <row r="1" spans="1:27">
      <c r="A1" s="871"/>
      <c r="B1" s="871"/>
      <c r="C1" s="871"/>
      <c r="D1" s="871"/>
      <c r="E1" s="871"/>
      <c r="F1" s="872" t="s">
        <v>581</v>
      </c>
      <c r="G1" s="872"/>
      <c r="H1" s="872"/>
      <c r="I1" s="872"/>
      <c r="J1" s="872"/>
      <c r="AA1" s="8" t="s">
        <v>384</v>
      </c>
    </row>
    <row r="2" spans="1:27">
      <c r="A2" s="871"/>
      <c r="B2" s="871"/>
      <c r="C2" s="871"/>
      <c r="D2" s="871"/>
      <c r="E2" s="871"/>
      <c r="F2" s="872"/>
      <c r="G2" s="872"/>
      <c r="H2" s="872"/>
      <c r="I2" s="872"/>
      <c r="J2" s="872"/>
      <c r="AA2" s="8" t="s">
        <v>582</v>
      </c>
    </row>
    <row r="3" spans="1:27">
      <c r="A3" s="871"/>
      <c r="B3" s="871"/>
      <c r="C3" s="871"/>
      <c r="D3" s="871"/>
      <c r="E3" s="871"/>
      <c r="F3" s="872"/>
      <c r="G3" s="872"/>
      <c r="H3" s="872"/>
      <c r="I3" s="872"/>
      <c r="J3" s="872"/>
      <c r="AA3" s="8" t="s">
        <v>583</v>
      </c>
    </row>
    <row r="4" spans="1:27">
      <c r="A4" s="871"/>
      <c r="B4" s="871"/>
      <c r="C4" s="871"/>
      <c r="D4" s="871"/>
      <c r="E4" s="871"/>
      <c r="F4" s="872"/>
      <c r="G4" s="872"/>
      <c r="H4" s="872"/>
      <c r="I4" s="872"/>
      <c r="J4" s="872"/>
      <c r="AA4" s="8" t="s">
        <v>584</v>
      </c>
    </row>
    <row r="5" spans="1:27">
      <c r="A5" s="710" t="s">
        <v>310</v>
      </c>
      <c r="B5" s="854"/>
      <c r="C5" s="854"/>
      <c r="D5" s="854"/>
      <c r="E5" s="711"/>
      <c r="F5" s="710" t="str">
        <f>IF(ORGN=0," ",ORGN)</f>
        <v xml:space="preserve"> </v>
      </c>
      <c r="G5" s="854"/>
      <c r="H5" s="854"/>
      <c r="I5" s="854"/>
      <c r="J5" s="711"/>
      <c r="AA5" s="8" t="s">
        <v>585</v>
      </c>
    </row>
    <row r="6" spans="1:27">
      <c r="A6" s="710" t="s">
        <v>312</v>
      </c>
      <c r="B6" s="854"/>
      <c r="C6" s="854"/>
      <c r="D6" s="854"/>
      <c r="E6" s="711"/>
      <c r="F6" s="710" t="str">
        <f>IF(STANDARD=0," ",STANDARD)</f>
        <v xml:space="preserve"> </v>
      </c>
      <c r="G6" s="854"/>
      <c r="H6" s="854"/>
      <c r="I6" s="854"/>
      <c r="J6" s="711"/>
    </row>
    <row r="7" spans="1:27">
      <c r="A7" s="710" t="s">
        <v>586</v>
      </c>
      <c r="B7" s="854"/>
      <c r="C7" s="854"/>
      <c r="D7" s="854"/>
      <c r="E7" s="711"/>
      <c r="F7" s="710" t="str">
        <f>IF(ATP=0," ",ATP)</f>
        <v xml:space="preserve"> </v>
      </c>
      <c r="G7" s="854"/>
      <c r="H7" s="854"/>
      <c r="I7" s="854"/>
      <c r="J7" s="711"/>
    </row>
    <row r="8" spans="1:27">
      <c r="A8" s="710" t="s">
        <v>320</v>
      </c>
      <c r="B8" s="854"/>
      <c r="C8" s="854"/>
      <c r="D8" s="854"/>
      <c r="E8" s="711"/>
      <c r="F8" s="710" t="str">
        <f>IF(MOA=0," ",MOA)</f>
        <v xml:space="preserve"> </v>
      </c>
      <c r="G8" s="854"/>
      <c r="H8" s="854"/>
      <c r="I8" s="854"/>
      <c r="J8" s="711"/>
    </row>
    <row r="9" spans="1:27">
      <c r="A9" s="710" t="s">
        <v>321</v>
      </c>
      <c r="B9" s="854"/>
      <c r="C9" s="854"/>
      <c r="D9" s="854"/>
      <c r="E9" s="711"/>
      <c r="F9" s="710" t="str">
        <f>IF(OML=0," ",OML)</f>
        <v xml:space="preserve"> </v>
      </c>
      <c r="G9" s="854"/>
      <c r="H9" s="854"/>
      <c r="I9" s="854"/>
      <c r="J9" s="711"/>
    </row>
    <row r="10" spans="1:27">
      <c r="A10" s="855" t="s">
        <v>587</v>
      </c>
      <c r="B10" s="855"/>
      <c r="C10" s="855"/>
      <c r="D10" s="855"/>
      <c r="E10" s="855"/>
      <c r="F10" s="855"/>
      <c r="G10" s="855" t="s">
        <v>588</v>
      </c>
      <c r="H10" s="855"/>
      <c r="I10" s="855"/>
      <c r="J10" s="855"/>
    </row>
    <row r="11" spans="1:27">
      <c r="A11" s="856" t="s">
        <v>589</v>
      </c>
      <c r="B11" s="857"/>
      <c r="C11" s="857"/>
      <c r="D11" s="857"/>
      <c r="E11" s="857"/>
      <c r="F11" s="857"/>
      <c r="G11" s="857"/>
      <c r="H11" s="857"/>
      <c r="I11" s="857"/>
      <c r="J11" s="858"/>
    </row>
    <row r="12" spans="1:27">
      <c r="A12" s="859" t="s">
        <v>590</v>
      </c>
      <c r="B12" s="860"/>
      <c r="C12" s="860"/>
      <c r="D12" s="860"/>
      <c r="E12" s="860"/>
      <c r="F12" s="860"/>
      <c r="G12" s="860"/>
      <c r="H12" s="860"/>
      <c r="I12" s="860"/>
      <c r="J12" s="861"/>
    </row>
    <row r="13" spans="1:27" ht="15" customHeight="1">
      <c r="A13" s="218" t="s">
        <v>1084</v>
      </c>
      <c r="B13" s="219"/>
      <c r="C13" s="219"/>
      <c r="D13" s="219"/>
      <c r="E13" s="219"/>
      <c r="F13" s="220"/>
      <c r="G13" s="218"/>
      <c r="H13" s="219"/>
      <c r="I13" s="219"/>
      <c r="J13" s="220"/>
    </row>
    <row r="14" spans="1:27">
      <c r="A14" s="224"/>
      <c r="B14" s="225"/>
      <c r="C14" s="225"/>
      <c r="D14" s="225"/>
      <c r="E14" s="225"/>
      <c r="F14" s="226"/>
      <c r="G14" s="224"/>
      <c r="H14" s="225"/>
      <c r="I14" s="225"/>
      <c r="J14" s="226"/>
    </row>
    <row r="15" spans="1:27" ht="33" customHeight="1">
      <c r="A15" s="718" t="s">
        <v>1085</v>
      </c>
      <c r="B15" s="718"/>
      <c r="C15" s="718"/>
      <c r="D15" s="718"/>
      <c r="E15" s="718"/>
      <c r="F15" s="718"/>
      <c r="G15" s="862"/>
      <c r="H15" s="863"/>
      <c r="I15" s="863"/>
      <c r="J15" s="864"/>
    </row>
    <row r="16" spans="1:27" ht="39" customHeight="1">
      <c r="A16" s="204" t="s">
        <v>591</v>
      </c>
      <c r="B16" s="205"/>
      <c r="C16" s="205"/>
      <c r="D16" s="205"/>
      <c r="E16" s="205"/>
      <c r="F16" s="206"/>
      <c r="G16" s="204" t="s">
        <v>592</v>
      </c>
      <c r="H16" s="205"/>
      <c r="I16" s="205"/>
      <c r="J16" s="206"/>
    </row>
    <row r="17" spans="1:10">
      <c r="A17" s="204" t="s">
        <v>593</v>
      </c>
      <c r="B17" s="205"/>
      <c r="C17" s="205"/>
      <c r="D17" s="205"/>
      <c r="E17" s="205"/>
      <c r="F17" s="206"/>
      <c r="G17" s="204" t="s">
        <v>472</v>
      </c>
      <c r="H17" s="205"/>
      <c r="I17" s="205"/>
      <c r="J17" s="206"/>
    </row>
    <row r="18" spans="1:10">
      <c r="A18" s="218" t="s">
        <v>594</v>
      </c>
      <c r="B18" s="219"/>
      <c r="C18" s="219"/>
      <c r="D18" s="219"/>
      <c r="E18" s="219"/>
      <c r="F18" s="220"/>
      <c r="G18" s="204" t="str">
        <f>IF(AUDITOR1=0," ",AUDITOR1)</f>
        <v xml:space="preserve"> </v>
      </c>
      <c r="H18" s="205"/>
      <c r="I18" s="205"/>
      <c r="J18" s="206"/>
    </row>
    <row r="19" spans="1:10">
      <c r="A19" s="224"/>
      <c r="B19" s="225"/>
      <c r="C19" s="225"/>
      <c r="D19" s="225"/>
      <c r="E19" s="225"/>
      <c r="F19" s="226"/>
      <c r="G19" s="204"/>
      <c r="H19" s="205"/>
      <c r="I19" s="205"/>
      <c r="J19" s="206"/>
    </row>
    <row r="20" spans="1:10">
      <c r="A20" s="204" t="s">
        <v>595</v>
      </c>
      <c r="B20" s="205"/>
      <c r="C20" s="205"/>
      <c r="D20" s="205"/>
      <c r="E20" s="205"/>
      <c r="F20" s="206"/>
      <c r="G20" s="204" t="s">
        <v>596</v>
      </c>
      <c r="H20" s="205"/>
      <c r="I20" s="205"/>
      <c r="J20" s="206"/>
    </row>
    <row r="21" spans="1:10" ht="33" customHeight="1">
      <c r="A21" s="204" t="s">
        <v>597</v>
      </c>
      <c r="B21" s="205"/>
      <c r="C21" s="205"/>
      <c r="D21" s="205"/>
      <c r="E21" s="205"/>
      <c r="F21" s="206"/>
      <c r="G21" s="865" t="str">
        <f>IF(ST1AUDPLAN=0," ",ST1AUDPLAN)</f>
        <v xml:space="preserve"> </v>
      </c>
      <c r="H21" s="866"/>
      <c r="I21" s="866"/>
      <c r="J21" s="867"/>
    </row>
    <row r="22" spans="1:10">
      <c r="A22" s="204" t="s">
        <v>598</v>
      </c>
      <c r="B22" s="205"/>
      <c r="C22" s="205"/>
      <c r="D22" s="205"/>
      <c r="E22" s="205"/>
      <c r="F22" s="206"/>
      <c r="G22" s="868" t="str">
        <f>IF(ST1AUDDATE1=0," ",ST1AUDDATE1)</f>
        <v xml:space="preserve"> </v>
      </c>
      <c r="H22" s="197"/>
      <c r="I22" s="4" t="s">
        <v>376</v>
      </c>
      <c r="J22" s="9" t="str">
        <f>IF(ST1AUDDATE2=0," ",ST1AUDDATE2)</f>
        <v xml:space="preserve"> </v>
      </c>
    </row>
    <row r="23" spans="1:10" ht="31.5" customHeight="1">
      <c r="A23" s="204" t="s">
        <v>599</v>
      </c>
      <c r="B23" s="205"/>
      <c r="C23" s="205"/>
      <c r="D23" s="205"/>
      <c r="E23" s="205"/>
      <c r="F23" s="206"/>
      <c r="G23" s="201" t="s">
        <v>600</v>
      </c>
      <c r="H23" s="202"/>
      <c r="I23" s="202"/>
      <c r="J23" s="203"/>
    </row>
    <row r="24" spans="1:10" ht="39" customHeight="1">
      <c r="A24" s="204" t="s">
        <v>601</v>
      </c>
      <c r="B24" s="205"/>
      <c r="C24" s="205"/>
      <c r="D24" s="205"/>
      <c r="E24" s="205"/>
      <c r="F24" s="206"/>
      <c r="G24" s="201" t="s">
        <v>24</v>
      </c>
      <c r="H24" s="202"/>
      <c r="I24" s="202"/>
      <c r="J24" s="203"/>
    </row>
    <row r="25" spans="1:10" ht="24" customHeight="1">
      <c r="A25" s="204" t="s">
        <v>602</v>
      </c>
      <c r="B25" s="205"/>
      <c r="C25" s="205"/>
      <c r="D25" s="205"/>
      <c r="E25" s="205"/>
      <c r="F25" s="206"/>
      <c r="G25" s="201" t="str">
        <f>IF(ST1OBSQTY=0," ",ST1OBSQTY)</f>
        <v xml:space="preserve"> </v>
      </c>
      <c r="H25" s="202"/>
      <c r="I25" s="202"/>
      <c r="J25" s="203"/>
    </row>
    <row r="26" spans="1:10" ht="22.5" customHeight="1">
      <c r="A26" s="204" t="s">
        <v>603</v>
      </c>
      <c r="B26" s="205"/>
      <c r="C26" s="205"/>
      <c r="D26" s="205"/>
      <c r="E26" s="205"/>
      <c r="F26" s="206"/>
      <c r="G26" s="201" t="s">
        <v>604</v>
      </c>
      <c r="H26" s="202"/>
      <c r="I26" s="202"/>
      <c r="J26" s="203"/>
    </row>
    <row r="27" spans="1:10">
      <c r="A27" s="204" t="s">
        <v>605</v>
      </c>
      <c r="B27" s="205"/>
      <c r="C27" s="205"/>
      <c r="D27" s="205"/>
      <c r="E27" s="205"/>
      <c r="F27" s="206"/>
      <c r="G27" s="201" t="s">
        <v>604</v>
      </c>
      <c r="H27" s="202"/>
      <c r="I27" s="202"/>
      <c r="J27" s="203"/>
    </row>
    <row r="28" spans="1:10" ht="48.75" customHeight="1">
      <c r="A28" s="204" t="s">
        <v>606</v>
      </c>
      <c r="B28" s="205"/>
      <c r="C28" s="205"/>
      <c r="D28" s="205"/>
      <c r="E28" s="205"/>
      <c r="F28" s="206"/>
      <c r="G28" s="201" t="s">
        <v>607</v>
      </c>
      <c r="H28" s="202"/>
      <c r="I28" s="202"/>
      <c r="J28" s="203"/>
    </row>
    <row r="29" spans="1:10" ht="48.75" customHeight="1">
      <c r="A29" s="4" t="s">
        <v>608</v>
      </c>
      <c r="B29" s="4" t="str">
        <f>IF(RN=0," ",RN)</f>
        <v xml:space="preserve"> </v>
      </c>
      <c r="C29" s="197" t="s">
        <v>609</v>
      </c>
      <c r="D29" s="197"/>
      <c r="E29" s="197"/>
      <c r="F29" s="197"/>
      <c r="G29" s="197"/>
      <c r="H29" s="197"/>
      <c r="I29" s="197"/>
      <c r="J29" s="197"/>
    </row>
    <row r="30" spans="1:10">
      <c r="A30" s="873" t="s">
        <v>610</v>
      </c>
      <c r="B30" s="874"/>
      <c r="C30" s="874"/>
      <c r="D30" s="874"/>
      <c r="E30" s="874"/>
      <c r="F30" s="874"/>
      <c r="G30" s="874"/>
      <c r="H30" s="874"/>
      <c r="I30" s="874"/>
      <c r="J30" s="875"/>
    </row>
    <row r="31" spans="1:10" ht="37.5" customHeight="1">
      <c r="A31" s="876"/>
      <c r="B31" s="877"/>
      <c r="C31" s="877"/>
      <c r="D31" s="877"/>
      <c r="E31" s="877"/>
      <c r="F31" s="877"/>
      <c r="G31" s="877"/>
      <c r="H31" s="877"/>
      <c r="I31" s="877"/>
      <c r="J31" s="878"/>
    </row>
    <row r="32" spans="1:10">
      <c r="A32" s="876"/>
      <c r="B32" s="877"/>
      <c r="C32" s="877"/>
      <c r="D32" s="877"/>
      <c r="E32" s="877"/>
      <c r="F32" s="877"/>
      <c r="G32" s="877"/>
      <c r="H32" s="877"/>
      <c r="I32" s="877"/>
      <c r="J32" s="878"/>
    </row>
    <row r="33" spans="1:10">
      <c r="A33" s="876"/>
      <c r="B33" s="877"/>
      <c r="C33" s="877"/>
      <c r="D33" s="877"/>
      <c r="E33" s="877"/>
      <c r="F33" s="877"/>
      <c r="G33" s="877"/>
      <c r="H33" s="877"/>
      <c r="I33" s="877"/>
      <c r="J33" s="878"/>
    </row>
    <row r="34" spans="1:10" ht="33" customHeight="1">
      <c r="A34" s="876"/>
      <c r="B34" s="877"/>
      <c r="C34" s="877"/>
      <c r="D34" s="877"/>
      <c r="E34" s="877"/>
      <c r="F34" s="877"/>
      <c r="G34" s="877"/>
      <c r="H34" s="877"/>
      <c r="I34" s="877"/>
      <c r="J34" s="878"/>
    </row>
    <row r="35" spans="1:10">
      <c r="A35" s="876"/>
      <c r="B35" s="877"/>
      <c r="C35" s="877"/>
      <c r="D35" s="877"/>
      <c r="E35" s="877"/>
      <c r="F35" s="877"/>
      <c r="G35" s="877"/>
      <c r="H35" s="877"/>
      <c r="I35" s="877"/>
      <c r="J35" s="878"/>
    </row>
    <row r="36" spans="1:10">
      <c r="A36" s="876"/>
      <c r="B36" s="877"/>
      <c r="C36" s="877"/>
      <c r="D36" s="877"/>
      <c r="E36" s="877"/>
      <c r="F36" s="877"/>
      <c r="G36" s="877"/>
      <c r="H36" s="877"/>
      <c r="I36" s="877"/>
      <c r="J36" s="878"/>
    </row>
    <row r="37" spans="1:10">
      <c r="A37" s="876"/>
      <c r="B37" s="877"/>
      <c r="C37" s="877"/>
      <c r="D37" s="877"/>
      <c r="E37" s="877"/>
      <c r="F37" s="877"/>
      <c r="G37" s="877"/>
      <c r="H37" s="877"/>
      <c r="I37" s="877"/>
      <c r="J37" s="878"/>
    </row>
    <row r="38" spans="1:10">
      <c r="A38" s="879"/>
      <c r="B38" s="880"/>
      <c r="C38" s="880"/>
      <c r="D38" s="880"/>
      <c r="E38" s="880"/>
      <c r="F38" s="880"/>
      <c r="G38" s="880"/>
      <c r="H38" s="880"/>
      <c r="I38" s="880"/>
      <c r="J38" s="881"/>
    </row>
    <row r="39" spans="1:10" ht="67.5" customHeight="1">
      <c r="A39" s="10" t="s">
        <v>611</v>
      </c>
      <c r="B39" s="11" t="str">
        <f>IF(RDREV=0," ",RDREV)</f>
        <v xml:space="preserve"> </v>
      </c>
      <c r="C39" s="744"/>
      <c r="D39" s="745"/>
      <c r="E39" s="745"/>
      <c r="F39" s="745"/>
      <c r="G39" s="745"/>
      <c r="H39" s="745"/>
      <c r="I39" s="745"/>
      <c r="J39" s="746"/>
    </row>
    <row r="40" spans="1:10" ht="38.25" customHeight="1">
      <c r="A40" s="10" t="s">
        <v>611</v>
      </c>
      <c r="B40" s="11" t="str">
        <f>IF(RDHOD=0," ",RDHOD)</f>
        <v xml:space="preserve"> </v>
      </c>
      <c r="C40" s="744"/>
      <c r="D40" s="745"/>
      <c r="E40" s="745"/>
      <c r="F40" s="745"/>
      <c r="G40" s="745"/>
      <c r="H40" s="745"/>
      <c r="I40" s="745"/>
      <c r="J40" s="746"/>
    </row>
    <row r="41" spans="1:10">
      <c r="A41" s="869" t="s">
        <v>612</v>
      </c>
      <c r="B41" s="870"/>
      <c r="C41" s="870"/>
      <c r="D41" s="870"/>
      <c r="E41" s="870"/>
      <c r="F41" s="870"/>
      <c r="G41" s="870"/>
      <c r="H41" s="870"/>
      <c r="I41" s="870"/>
      <c r="J41" s="870"/>
    </row>
    <row r="43" spans="1:10" ht="49.5" customHeight="1"/>
    <row r="44" spans="1:10" ht="43.5" customHeight="1"/>
    <row r="45" spans="1:10" ht="45" customHeight="1"/>
    <row r="47" spans="1:10" ht="52.5" customHeight="1"/>
    <row r="52" ht="66" customHeight="1"/>
    <row r="55" ht="41.25" customHeight="1"/>
    <row r="56" ht="42" customHeight="1"/>
    <row r="59" ht="39.75" customHeight="1"/>
    <row r="60" ht="45" customHeight="1"/>
    <row r="62" ht="45" customHeight="1"/>
    <row r="67" ht="54" customHeight="1"/>
    <row r="68" ht="35.25" customHeight="1"/>
    <row r="77" ht="48" customHeight="1"/>
  </sheetData>
  <mergeCells count="50">
    <mergeCell ref="A41:J41"/>
    <mergeCell ref="A1:E4"/>
    <mergeCell ref="F1:J4"/>
    <mergeCell ref="A13:F14"/>
    <mergeCell ref="G13:J14"/>
    <mergeCell ref="A18:F19"/>
    <mergeCell ref="A30:J38"/>
    <mergeCell ref="A28:F28"/>
    <mergeCell ref="G28:J28"/>
    <mergeCell ref="C29:J29"/>
    <mergeCell ref="C39:J39"/>
    <mergeCell ref="C40:J40"/>
    <mergeCell ref="A25:F25"/>
    <mergeCell ref="G25:J25"/>
    <mergeCell ref="A26:F26"/>
    <mergeCell ref="G26:J26"/>
    <mergeCell ref="A27:F27"/>
    <mergeCell ref="G27:J27"/>
    <mergeCell ref="A22:F22"/>
    <mergeCell ref="G22:H22"/>
    <mergeCell ref="A23:F23"/>
    <mergeCell ref="G23:J23"/>
    <mergeCell ref="A24:F24"/>
    <mergeCell ref="G24:J24"/>
    <mergeCell ref="G18:J18"/>
    <mergeCell ref="G19:J19"/>
    <mergeCell ref="A20:F20"/>
    <mergeCell ref="G20:J20"/>
    <mergeCell ref="A21:F21"/>
    <mergeCell ref="G21:J21"/>
    <mergeCell ref="A11:J11"/>
    <mergeCell ref="A12:J12"/>
    <mergeCell ref="A16:F16"/>
    <mergeCell ref="G16:J16"/>
    <mergeCell ref="A17:F17"/>
    <mergeCell ref="G17:J17"/>
    <mergeCell ref="A15:F15"/>
    <mergeCell ref="G15:J15"/>
    <mergeCell ref="A8:E8"/>
    <mergeCell ref="F8:J8"/>
    <mergeCell ref="A9:E9"/>
    <mergeCell ref="F9:J9"/>
    <mergeCell ref="A10:F10"/>
    <mergeCell ref="G10:J10"/>
    <mergeCell ref="A5:E5"/>
    <mergeCell ref="F5:J5"/>
    <mergeCell ref="A6:E6"/>
    <mergeCell ref="F6:J6"/>
    <mergeCell ref="A7:E7"/>
    <mergeCell ref="F7:J7"/>
  </mergeCells>
  <dataValidations count="1">
    <dataValidation type="list" allowBlank="1" showInputMessage="1" showErrorMessage="1" sqref="F7:J7" xr:uid="{00000000-0002-0000-0800-000000000000}">
      <formula1>$AA$1:$AA$5</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pageSetUpPr fitToPage="1"/>
  </sheetPr>
  <dimension ref="A1:Q74"/>
  <sheetViews>
    <sheetView showGridLines="0" topLeftCell="A31" workbookViewId="0">
      <selection activeCell="Q33" sqref="Q33"/>
    </sheetView>
  </sheetViews>
  <sheetFormatPr defaultColWidth="11" defaultRowHeight="15"/>
  <cols>
    <col min="1" max="1" width="4.125" style="3" customWidth="1"/>
    <col min="2" max="2" width="13.625" style="3" customWidth="1"/>
    <col min="3" max="3" width="2.5" style="3" customWidth="1"/>
    <col min="4" max="4" width="7.75" style="3" customWidth="1"/>
    <col min="5" max="5" width="6.625" style="3" customWidth="1"/>
    <col min="6" max="6" width="12.5" style="3" customWidth="1"/>
    <col min="7" max="7" width="3.625" style="3" customWidth="1"/>
    <col min="8" max="8" width="2.125" style="3" customWidth="1"/>
    <col min="9" max="9" width="2.875" style="3" customWidth="1"/>
    <col min="10" max="10" width="3.625" style="3" customWidth="1"/>
    <col min="11" max="11" width="1.5" style="3" customWidth="1"/>
    <col min="12" max="12" width="25" style="3" customWidth="1"/>
    <col min="13" max="13" width="5" style="3" customWidth="1"/>
    <col min="14" max="14" width="6.125" style="3" customWidth="1"/>
    <col min="15" max="15" width="10.625" style="3" customWidth="1"/>
    <col min="16" max="16384" width="11" style="3"/>
  </cols>
  <sheetData>
    <row r="1" spans="1:16">
      <c r="A1" s="716" t="s">
        <v>613</v>
      </c>
      <c r="B1" s="717"/>
      <c r="C1" s="717"/>
      <c r="D1" s="717"/>
      <c r="E1" s="717"/>
      <c r="F1" s="717"/>
      <c r="G1" s="717"/>
      <c r="H1" s="717"/>
      <c r="I1" s="717"/>
      <c r="J1" s="717"/>
      <c r="K1" s="717"/>
      <c r="L1" s="717"/>
      <c r="M1" s="717"/>
      <c r="N1" s="717"/>
      <c r="O1" s="717"/>
      <c r="P1" s="27" t="s">
        <v>48</v>
      </c>
    </row>
    <row r="2" spans="1:16" ht="18" customHeight="1">
      <c r="A2" s="22">
        <v>1.1000000000000001</v>
      </c>
      <c r="B2" s="718" t="s">
        <v>426</v>
      </c>
      <c r="C2" s="718"/>
      <c r="D2" s="718" t="str">
        <f>IF(ID=0," ",ID)</f>
        <v/>
      </c>
      <c r="E2" s="718"/>
      <c r="F2" s="718"/>
      <c r="G2" s="718"/>
      <c r="H2" s="718"/>
      <c r="I2" s="723"/>
      <c r="J2" s="727"/>
      <c r="K2" s="727"/>
      <c r="L2" s="727"/>
      <c r="M2" s="727"/>
      <c r="N2" s="727"/>
      <c r="O2" s="724"/>
    </row>
    <row r="3" spans="1:16" ht="27.75" customHeight="1">
      <c r="A3" s="22">
        <v>1.2</v>
      </c>
      <c r="B3" s="718" t="s">
        <v>310</v>
      </c>
      <c r="C3" s="718"/>
      <c r="D3" s="719" t="str">
        <f>IF(ORGN=0," ",ORGN)</f>
        <v/>
      </c>
      <c r="E3" s="719"/>
      <c r="F3" s="719"/>
      <c r="G3" s="719"/>
      <c r="H3" s="719"/>
      <c r="I3" s="719"/>
      <c r="J3" s="719"/>
      <c r="K3" s="719"/>
      <c r="L3" s="719"/>
      <c r="M3" s="719"/>
      <c r="N3" s="719"/>
      <c r="O3" s="719"/>
    </row>
    <row r="4" spans="1:16" ht="84.75" customHeight="1">
      <c r="A4" s="22">
        <v>1.3</v>
      </c>
      <c r="B4" s="718" t="s">
        <v>51</v>
      </c>
      <c r="C4" s="718"/>
      <c r="D4" s="719" t="str">
        <f>IF(ORGADD=0," ",ORGADD)</f>
        <v/>
      </c>
      <c r="E4" s="719"/>
      <c r="F4" s="719"/>
      <c r="G4" s="719"/>
      <c r="H4" s="719"/>
      <c r="I4" s="719"/>
      <c r="J4" s="719"/>
      <c r="K4" s="719"/>
      <c r="L4" s="719"/>
      <c r="M4" s="719"/>
      <c r="N4" s="719"/>
      <c r="O4" s="719"/>
    </row>
    <row r="5" spans="1:16" ht="21.75" customHeight="1">
      <c r="A5" s="22">
        <v>1.4</v>
      </c>
      <c r="B5" s="718" t="s">
        <v>55</v>
      </c>
      <c r="C5" s="718"/>
      <c r="D5" s="719" t="str">
        <f>IF(CONTACTPERS=0," ",CONTACTPERS)</f>
        <v/>
      </c>
      <c r="E5" s="719"/>
      <c r="F5" s="719"/>
      <c r="G5" s="719"/>
      <c r="H5" s="719"/>
      <c r="I5" s="718" t="s">
        <v>427</v>
      </c>
      <c r="J5" s="718"/>
      <c r="K5" s="718"/>
      <c r="L5" s="208" t="str">
        <f>IF(CONTACTNUM=0," ",CONTACTNUM)</f>
        <v/>
      </c>
      <c r="M5" s="208"/>
      <c r="N5" s="208"/>
      <c r="O5" s="208"/>
    </row>
    <row r="6" spans="1:16" ht="18" customHeight="1">
      <c r="A6" s="22">
        <v>1.5</v>
      </c>
      <c r="B6" s="718" t="s">
        <v>428</v>
      </c>
      <c r="C6" s="718"/>
      <c r="D6" s="719" t="str">
        <f>IF(ATP=0," ",ATP)</f>
        <v/>
      </c>
      <c r="E6" s="719"/>
      <c r="F6" s="719"/>
      <c r="G6" s="719"/>
      <c r="H6" s="719"/>
      <c r="I6" s="719"/>
      <c r="J6" s="719"/>
      <c r="K6" s="719"/>
      <c r="L6" s="719"/>
      <c r="M6" s="719"/>
      <c r="N6" s="719"/>
      <c r="O6" s="719"/>
    </row>
    <row r="7" spans="1:16" ht="18" customHeight="1">
      <c r="A7" s="22">
        <v>1.6</v>
      </c>
      <c r="B7" s="718" t="s">
        <v>319</v>
      </c>
      <c r="C7" s="718"/>
      <c r="D7" s="720" t="str">
        <f>IF(STANDARD=0," ",STANDARD)</f>
        <v/>
      </c>
      <c r="E7" s="721"/>
      <c r="F7" s="721"/>
      <c r="G7" s="721"/>
      <c r="H7" s="721"/>
      <c r="I7" s="721"/>
      <c r="J7" s="721"/>
      <c r="K7" s="721"/>
      <c r="L7" s="721"/>
      <c r="M7" s="721"/>
      <c r="N7" s="721"/>
      <c r="O7" s="722"/>
    </row>
    <row r="8" spans="1:16" ht="18" customHeight="1">
      <c r="A8" s="22">
        <v>1.7</v>
      </c>
      <c r="B8" s="723" t="s">
        <v>429</v>
      </c>
      <c r="C8" s="724"/>
      <c r="D8" s="725">
        <f>(ST2AUDPLAN)</f>
        <v>0</v>
      </c>
      <c r="E8" s="726"/>
      <c r="F8" s="726"/>
      <c r="G8" s="30"/>
      <c r="H8" s="32"/>
      <c r="I8" s="32"/>
      <c r="J8" s="32"/>
      <c r="K8" s="30"/>
      <c r="L8" s="30"/>
      <c r="M8" s="30"/>
      <c r="N8" s="30"/>
      <c r="O8" s="31"/>
    </row>
    <row r="9" spans="1:16" ht="18" customHeight="1">
      <c r="A9" s="22">
        <v>1.8</v>
      </c>
      <c r="B9" s="723" t="s">
        <v>430</v>
      </c>
      <c r="C9" s="727"/>
      <c r="D9" s="728" t="str">
        <f>IF(ST2AUDDATE1=0," ",ST2AUDDATE1)</f>
        <v/>
      </c>
      <c r="E9" s="728"/>
      <c r="F9" s="728"/>
      <c r="G9" s="30" t="s">
        <v>431</v>
      </c>
      <c r="H9" s="728" t="str">
        <f>IF(ST2AUDDATE2=0," ",ST2AUDDATE2)</f>
        <v/>
      </c>
      <c r="I9" s="728"/>
      <c r="J9" s="728"/>
      <c r="K9" s="30"/>
      <c r="L9" s="30"/>
      <c r="M9" s="30"/>
      <c r="N9" s="30"/>
      <c r="O9" s="31"/>
    </row>
    <row r="10" spans="1:16" ht="35.1" customHeight="1">
      <c r="A10" s="22">
        <v>1.9</v>
      </c>
      <c r="B10" s="723" t="s">
        <v>320</v>
      </c>
      <c r="C10" s="724"/>
      <c r="D10" s="730" t="str">
        <f>IF(MOA=0," ",MOA)</f>
        <v/>
      </c>
      <c r="E10" s="731"/>
      <c r="F10" s="732"/>
      <c r="G10" s="736" t="s">
        <v>321</v>
      </c>
      <c r="H10" s="737"/>
      <c r="I10" s="737"/>
      <c r="J10" s="738"/>
      <c r="K10" s="736" t="str">
        <f>IF(OML=0," ",OML)</f>
        <v/>
      </c>
      <c r="L10" s="737"/>
      <c r="M10" s="737"/>
      <c r="N10" s="737"/>
      <c r="O10" s="738"/>
    </row>
    <row r="11" spans="1:16" ht="29.25" customHeight="1">
      <c r="A11" s="33" t="s">
        <v>614</v>
      </c>
      <c r="B11" s="718" t="s">
        <v>433</v>
      </c>
      <c r="C11" s="718"/>
      <c r="D11" s="739" t="str">
        <f>IF(IAFCODE=0," ",IAFCODE)</f>
        <v/>
      </c>
      <c r="E11" s="739"/>
      <c r="F11" s="739"/>
      <c r="G11" s="719"/>
      <c r="H11" s="739"/>
      <c r="I11" s="739"/>
      <c r="J11" s="739"/>
      <c r="K11" s="719"/>
      <c r="L11" s="719"/>
      <c r="M11" s="719"/>
      <c r="N11" s="719"/>
      <c r="O11" s="719"/>
    </row>
    <row r="12" spans="1:16" ht="144" customHeight="1">
      <c r="A12" s="33" t="s">
        <v>432</v>
      </c>
      <c r="B12" s="723" t="s">
        <v>434</v>
      </c>
      <c r="C12" s="724"/>
      <c r="D12" s="882" t="s">
        <v>1086</v>
      </c>
      <c r="E12" s="741"/>
      <c r="F12" s="741"/>
      <c r="G12" s="741"/>
      <c r="H12" s="741"/>
      <c r="I12" s="741"/>
      <c r="J12" s="741"/>
      <c r="K12" s="741"/>
      <c r="L12" s="741"/>
      <c r="M12" s="741"/>
      <c r="N12" s="741"/>
      <c r="O12" s="742"/>
    </row>
    <row r="13" spans="1:16" ht="22.5" customHeight="1">
      <c r="A13" s="33" t="s">
        <v>615</v>
      </c>
      <c r="B13" s="718" t="s">
        <v>436</v>
      </c>
      <c r="C13" s="718"/>
      <c r="D13" s="719" t="str">
        <f>IF(AUDITLANG=0," ",AUDITLANG)</f>
        <v>English</v>
      </c>
      <c r="E13" s="719"/>
      <c r="F13" s="719"/>
      <c r="G13" s="719"/>
      <c r="H13" s="719"/>
      <c r="I13" s="719"/>
      <c r="J13" s="719"/>
      <c r="K13" s="719"/>
      <c r="L13" s="719"/>
      <c r="M13" s="719"/>
      <c r="N13" s="719"/>
      <c r="O13" s="719"/>
    </row>
    <row r="14" spans="1:16" ht="22.5" customHeight="1">
      <c r="A14" s="743" t="s">
        <v>343</v>
      </c>
      <c r="B14" s="743"/>
      <c r="C14" s="743"/>
      <c r="D14" s="743"/>
      <c r="E14" s="743"/>
      <c r="F14" s="743"/>
      <c r="G14" s="743"/>
      <c r="H14" s="743"/>
      <c r="I14" s="743"/>
      <c r="J14" s="743"/>
      <c r="K14" s="743"/>
      <c r="L14" s="743"/>
      <c r="M14" s="743"/>
      <c r="N14" s="743"/>
      <c r="O14" s="743"/>
    </row>
    <row r="15" spans="1:16" ht="22.5" customHeight="1">
      <c r="A15" s="218" t="s">
        <v>346</v>
      </c>
      <c r="B15" s="220"/>
      <c r="C15" s="218" t="s">
        <v>347</v>
      </c>
      <c r="D15" s="219"/>
      <c r="E15" s="219"/>
      <c r="F15" s="220"/>
      <c r="G15" s="218" t="s">
        <v>352</v>
      </c>
      <c r="H15" s="219"/>
      <c r="I15" s="219"/>
      <c r="J15" s="219"/>
      <c r="K15" s="220"/>
      <c r="L15" s="34"/>
      <c r="M15" s="34"/>
      <c r="N15" s="34"/>
      <c r="O15" s="34"/>
    </row>
    <row r="16" spans="1:16" ht="22.5" customHeight="1">
      <c r="A16" s="224"/>
      <c r="B16" s="226"/>
      <c r="C16" s="224"/>
      <c r="D16" s="225"/>
      <c r="E16" s="225"/>
      <c r="F16" s="226"/>
      <c r="G16" s="224"/>
      <c r="H16" s="225"/>
      <c r="I16" s="225"/>
      <c r="J16" s="225"/>
      <c r="K16" s="226"/>
      <c r="L16" s="34"/>
      <c r="M16" s="34"/>
      <c r="N16" s="34"/>
      <c r="O16" s="34"/>
    </row>
    <row r="17" spans="1:15" ht="22.5" customHeight="1">
      <c r="A17" s="648" t="str">
        <f>IF(AUDITOR1=0," ",AUDITOR1)</f>
        <v/>
      </c>
      <c r="B17" s="647"/>
      <c r="C17" s="744" t="str">
        <f>IF(ROLE1=0," ",ROLE1)</f>
        <v/>
      </c>
      <c r="D17" s="745"/>
      <c r="E17" s="745"/>
      <c r="F17" s="746"/>
      <c r="G17" s="644" t="str">
        <f>IF(ST2MANDAY1=0," ",ST2MANDAY1)</f>
        <v/>
      </c>
      <c r="H17" s="747"/>
      <c r="I17" s="747"/>
      <c r="J17" s="747"/>
      <c r="K17" s="645"/>
      <c r="L17" s="34"/>
      <c r="M17" s="34"/>
      <c r="N17" s="34"/>
      <c r="O17" s="34"/>
    </row>
    <row r="18" spans="1:15" ht="22.5" customHeight="1">
      <c r="A18" s="648" t="str">
        <f>IF(AUDITOR2=0," ",AUDITOR2)</f>
        <v/>
      </c>
      <c r="B18" s="647"/>
      <c r="C18" s="751" t="str">
        <f>IF(ROLE2=0," ",ROLE2)</f>
        <v/>
      </c>
      <c r="D18" s="752"/>
      <c r="E18" s="752"/>
      <c r="F18" s="753"/>
      <c r="G18" s="644" t="str">
        <f>IF(ST2MANDAY2=0," ",ST2MANDAY2)</f>
        <v/>
      </c>
      <c r="H18" s="747"/>
      <c r="I18" s="747"/>
      <c r="J18" s="747"/>
      <c r="K18" s="645"/>
      <c r="L18" s="34"/>
      <c r="M18" s="34"/>
      <c r="N18" s="34"/>
      <c r="O18" s="34"/>
    </row>
    <row r="19" spans="1:15" ht="22.5" customHeight="1">
      <c r="A19" s="648" t="str">
        <f>IF(AUDITOR3=0," ",AUDITOR3)</f>
        <v/>
      </c>
      <c r="B19" s="647"/>
      <c r="C19" s="751" t="str">
        <f>IF(ROLE3=0," ",ROLE3)</f>
        <v/>
      </c>
      <c r="D19" s="752"/>
      <c r="E19" s="752"/>
      <c r="F19" s="753"/>
      <c r="G19" s="644" t="str">
        <f>IF(ST2MANDAY3=0," ",ST2MANDAY3)</f>
        <v/>
      </c>
      <c r="H19" s="747"/>
      <c r="I19" s="747"/>
      <c r="J19" s="747"/>
      <c r="K19" s="645"/>
      <c r="L19" s="34"/>
      <c r="M19" s="34"/>
      <c r="N19" s="34"/>
      <c r="O19" s="34"/>
    </row>
    <row r="20" spans="1:15" ht="22.5" customHeight="1">
      <c r="A20" s="648" t="str">
        <f>IF(AUDITOR4=0," ",AUDITOR4)</f>
        <v/>
      </c>
      <c r="B20" s="647"/>
      <c r="C20" s="751" t="str">
        <f>IF(ROLE4=0," ",ROLE4)</f>
        <v/>
      </c>
      <c r="D20" s="752"/>
      <c r="E20" s="752"/>
      <c r="F20" s="753"/>
      <c r="G20" s="644" t="str">
        <f>IF(ST2MANDAY4=0," ",ST2MANDAY4)</f>
        <v/>
      </c>
      <c r="H20" s="747"/>
      <c r="I20" s="747"/>
      <c r="J20" s="747"/>
      <c r="K20" s="645"/>
      <c r="L20" s="34"/>
      <c r="M20" s="34"/>
      <c r="N20" s="34"/>
      <c r="O20" s="34"/>
    </row>
    <row r="21" spans="1:15" ht="22.5" customHeight="1">
      <c r="A21" s="648"/>
      <c r="B21" s="647"/>
      <c r="C21" s="751"/>
      <c r="D21" s="752"/>
      <c r="E21" s="752"/>
      <c r="F21" s="753"/>
      <c r="G21" s="644"/>
      <c r="H21" s="747"/>
      <c r="I21" s="747"/>
      <c r="J21" s="747"/>
      <c r="K21" s="645"/>
      <c r="L21" s="34"/>
      <c r="M21" s="34"/>
      <c r="N21" s="34"/>
      <c r="O21" s="34"/>
    </row>
    <row r="22" spans="1:15" ht="112.5" customHeight="1">
      <c r="A22" s="740" t="s">
        <v>616</v>
      </c>
      <c r="B22" s="741"/>
      <c r="C22" s="741"/>
      <c r="D22" s="741"/>
      <c r="E22" s="741"/>
      <c r="F22" s="741"/>
      <c r="G22" s="741"/>
      <c r="H22" s="741"/>
      <c r="I22" s="741"/>
      <c r="J22" s="741"/>
      <c r="K22" s="741"/>
      <c r="L22" s="741"/>
      <c r="M22" s="741"/>
      <c r="N22" s="741"/>
      <c r="O22" s="742"/>
    </row>
    <row r="23" spans="1:15" ht="132" customHeight="1">
      <c r="A23" s="740" t="s">
        <v>617</v>
      </c>
      <c r="B23" s="741"/>
      <c r="C23" s="741"/>
      <c r="D23" s="741"/>
      <c r="E23" s="741"/>
      <c r="F23" s="741"/>
      <c r="G23" s="741"/>
      <c r="H23" s="741"/>
      <c r="I23" s="741"/>
      <c r="J23" s="741"/>
      <c r="K23" s="741"/>
      <c r="L23" s="741"/>
      <c r="M23" s="741"/>
      <c r="N23" s="741"/>
      <c r="O23" s="742"/>
    </row>
    <row r="24" spans="1:15" ht="105" customHeight="1">
      <c r="A24" s="740" t="s">
        <v>618</v>
      </c>
      <c r="B24" s="727"/>
      <c r="C24" s="727"/>
      <c r="D24" s="727"/>
      <c r="E24" s="727"/>
      <c r="F24" s="727"/>
      <c r="G24" s="727"/>
      <c r="H24" s="727"/>
      <c r="I24" s="727"/>
      <c r="J24" s="727"/>
      <c r="K24" s="727"/>
      <c r="L24" s="727"/>
      <c r="M24" s="727"/>
      <c r="N24" s="727"/>
      <c r="O24" s="724"/>
    </row>
    <row r="25" spans="1:15" ht="104.25" customHeight="1">
      <c r="A25" s="740" t="s">
        <v>619</v>
      </c>
      <c r="B25" s="741"/>
      <c r="C25" s="741"/>
      <c r="D25" s="741"/>
      <c r="E25" s="741"/>
      <c r="F25" s="741"/>
      <c r="G25" s="741"/>
      <c r="H25" s="741"/>
      <c r="I25" s="741"/>
      <c r="J25" s="741"/>
      <c r="K25" s="741"/>
      <c r="L25" s="741"/>
      <c r="M25" s="741"/>
      <c r="N25" s="741"/>
      <c r="O25" s="742"/>
    </row>
    <row r="26" spans="1:15" ht="57.75" customHeight="1">
      <c r="A26" s="740" t="s">
        <v>443</v>
      </c>
      <c r="B26" s="727"/>
      <c r="C26" s="727"/>
      <c r="D26" s="727"/>
      <c r="E26" s="727"/>
      <c r="F26" s="727"/>
      <c r="G26" s="727"/>
      <c r="H26" s="727"/>
      <c r="I26" s="727"/>
      <c r="J26" s="727"/>
      <c r="K26" s="727"/>
      <c r="L26" s="727"/>
      <c r="M26" s="727"/>
      <c r="N26" s="727"/>
      <c r="O26" s="724"/>
    </row>
    <row r="27" spans="1:15" ht="117" customHeight="1">
      <c r="A27" s="740" t="s">
        <v>444</v>
      </c>
      <c r="B27" s="741"/>
      <c r="C27" s="741"/>
      <c r="D27" s="741"/>
      <c r="E27" s="741"/>
      <c r="F27" s="741"/>
      <c r="G27" s="741"/>
      <c r="H27" s="741"/>
      <c r="I27" s="741"/>
      <c r="J27" s="741"/>
      <c r="K27" s="741"/>
      <c r="L27" s="741"/>
      <c r="M27" s="741"/>
      <c r="N27" s="741"/>
      <c r="O27" s="742"/>
    </row>
    <row r="28" spans="1:15" ht="17.25" customHeight="1">
      <c r="A28" s="723" t="s">
        <v>620</v>
      </c>
      <c r="B28" s="727"/>
      <c r="C28" s="727"/>
      <c r="D28" s="727"/>
      <c r="E28" s="727"/>
      <c r="F28" s="727"/>
      <c r="G28" s="727"/>
      <c r="H28" s="727"/>
      <c r="I28" s="727"/>
      <c r="J28" s="727"/>
      <c r="K28" s="727"/>
      <c r="L28" s="727"/>
      <c r="M28" s="727"/>
      <c r="N28" s="727"/>
      <c r="O28" s="724"/>
    </row>
    <row r="29" spans="1:15" ht="32.25" customHeight="1">
      <c r="A29" s="751" t="s">
        <v>621</v>
      </c>
      <c r="B29" s="752"/>
      <c r="C29" s="752"/>
      <c r="D29" s="752"/>
      <c r="E29" s="752"/>
      <c r="F29" s="752"/>
      <c r="G29" s="752"/>
      <c r="H29" s="752"/>
      <c r="I29" s="752"/>
      <c r="J29" s="752"/>
      <c r="K29" s="752"/>
      <c r="L29" s="752"/>
      <c r="M29" s="752"/>
      <c r="N29" s="752"/>
      <c r="O29" s="753"/>
    </row>
    <row r="30" spans="1:15" ht="36" customHeight="1">
      <c r="A30" s="883" t="s">
        <v>447</v>
      </c>
      <c r="B30" s="883"/>
      <c r="C30" s="884" t="s">
        <v>448</v>
      </c>
      <c r="D30" s="884"/>
      <c r="E30" s="884"/>
      <c r="F30" s="885"/>
      <c r="G30" s="888" t="s">
        <v>449</v>
      </c>
      <c r="H30" s="888"/>
      <c r="I30" s="888"/>
      <c r="J30" s="888"/>
      <c r="K30" s="888"/>
      <c r="L30" s="889" t="s">
        <v>450</v>
      </c>
      <c r="M30" s="891" t="s">
        <v>451</v>
      </c>
      <c r="N30" s="884"/>
      <c r="O30" s="885"/>
    </row>
    <row r="31" spans="1:15" ht="22.5" customHeight="1">
      <c r="A31" s="883"/>
      <c r="B31" s="883"/>
      <c r="C31" s="886"/>
      <c r="D31" s="886"/>
      <c r="E31" s="886"/>
      <c r="F31" s="887"/>
      <c r="G31" s="888" t="s">
        <v>1013</v>
      </c>
      <c r="H31" s="888"/>
      <c r="I31" s="888"/>
      <c r="J31" s="888"/>
      <c r="K31" s="888"/>
      <c r="L31" s="890"/>
      <c r="M31" s="892"/>
      <c r="N31" s="893"/>
      <c r="O31" s="894"/>
    </row>
    <row r="32" spans="1:15" ht="85.5" customHeight="1">
      <c r="A32" s="895"/>
      <c r="B32" s="896"/>
      <c r="C32" s="900" t="s">
        <v>814</v>
      </c>
      <c r="D32" s="901"/>
      <c r="E32" s="901"/>
      <c r="F32" s="902"/>
      <c r="G32" s="900" t="s">
        <v>390</v>
      </c>
      <c r="H32" s="901"/>
      <c r="I32" s="901"/>
      <c r="J32" s="901"/>
      <c r="K32" s="901"/>
      <c r="L32" s="195"/>
      <c r="M32" s="900"/>
      <c r="N32" s="901"/>
      <c r="O32" s="902"/>
    </row>
    <row r="33" spans="1:17" ht="99" customHeight="1">
      <c r="A33" s="897"/>
      <c r="B33" s="897"/>
      <c r="C33" s="900" t="s">
        <v>815</v>
      </c>
      <c r="D33" s="901"/>
      <c r="E33" s="901"/>
      <c r="F33" s="902"/>
      <c r="G33" s="900" t="s">
        <v>390</v>
      </c>
      <c r="H33" s="901"/>
      <c r="I33" s="901"/>
      <c r="J33" s="901"/>
      <c r="K33" s="901"/>
      <c r="L33" s="195"/>
      <c r="M33" s="900"/>
      <c r="N33" s="901"/>
      <c r="O33" s="902"/>
    </row>
    <row r="34" spans="1:17" ht="46.5" customHeight="1">
      <c r="A34" s="898"/>
      <c r="B34" s="899"/>
      <c r="C34" s="900" t="s">
        <v>392</v>
      </c>
      <c r="D34" s="901" t="s">
        <v>392</v>
      </c>
      <c r="E34" s="901" t="s">
        <v>392</v>
      </c>
      <c r="F34" s="902" t="s">
        <v>392</v>
      </c>
      <c r="G34" s="900" t="s">
        <v>390</v>
      </c>
      <c r="H34" s="901"/>
      <c r="I34" s="901"/>
      <c r="J34" s="901"/>
      <c r="K34" s="901"/>
      <c r="L34" s="195"/>
      <c r="M34" s="900"/>
      <c r="N34" s="901"/>
      <c r="O34" s="902"/>
    </row>
    <row r="35" spans="1:17" ht="46.5" customHeight="1">
      <c r="A35" s="898"/>
      <c r="B35" s="899"/>
      <c r="C35" s="900" t="s">
        <v>393</v>
      </c>
      <c r="D35" s="901" t="s">
        <v>393</v>
      </c>
      <c r="E35" s="901" t="s">
        <v>393</v>
      </c>
      <c r="F35" s="902" t="s">
        <v>393</v>
      </c>
      <c r="G35" s="900" t="s">
        <v>390</v>
      </c>
      <c r="H35" s="901"/>
      <c r="I35" s="901"/>
      <c r="J35" s="901"/>
      <c r="K35" s="901"/>
      <c r="L35" s="195"/>
      <c r="M35" s="900"/>
      <c r="N35" s="901"/>
      <c r="O35" s="902"/>
    </row>
    <row r="36" spans="1:17" ht="45.75" customHeight="1">
      <c r="A36" s="898"/>
      <c r="B36" s="899"/>
      <c r="C36" s="900" t="s">
        <v>394</v>
      </c>
      <c r="D36" s="901" t="s">
        <v>394</v>
      </c>
      <c r="E36" s="901" t="s">
        <v>394</v>
      </c>
      <c r="F36" s="902" t="s">
        <v>394</v>
      </c>
      <c r="G36" s="900" t="s">
        <v>390</v>
      </c>
      <c r="H36" s="901"/>
      <c r="I36" s="901"/>
      <c r="J36" s="901"/>
      <c r="K36" s="901"/>
      <c r="L36" s="195"/>
      <c r="M36" s="900"/>
      <c r="N36" s="901"/>
      <c r="O36" s="902"/>
    </row>
    <row r="37" spans="1:17" ht="47.25" customHeight="1">
      <c r="A37" s="897"/>
      <c r="B37" s="897"/>
      <c r="C37" s="900" t="s">
        <v>395</v>
      </c>
      <c r="D37" s="901" t="s">
        <v>395</v>
      </c>
      <c r="E37" s="901" t="s">
        <v>395</v>
      </c>
      <c r="F37" s="902" t="s">
        <v>395</v>
      </c>
      <c r="G37" s="900" t="s">
        <v>390</v>
      </c>
      <c r="H37" s="901"/>
      <c r="I37" s="901"/>
      <c r="J37" s="901"/>
      <c r="K37" s="901"/>
      <c r="L37" s="195"/>
      <c r="M37" s="900"/>
      <c r="N37" s="901"/>
      <c r="O37" s="902"/>
    </row>
    <row r="38" spans="1:17" ht="43.5" customHeight="1">
      <c r="A38" s="903"/>
      <c r="B38" s="903"/>
      <c r="C38" s="900" t="s">
        <v>396</v>
      </c>
      <c r="D38" s="901" t="s">
        <v>396</v>
      </c>
      <c r="E38" s="901" t="s">
        <v>396</v>
      </c>
      <c r="F38" s="902" t="s">
        <v>396</v>
      </c>
      <c r="G38" s="900" t="s">
        <v>390</v>
      </c>
      <c r="H38" s="901"/>
      <c r="I38" s="901"/>
      <c r="J38" s="901"/>
      <c r="K38" s="901"/>
      <c r="L38" s="195"/>
      <c r="M38" s="900"/>
      <c r="N38" s="901"/>
      <c r="O38" s="902"/>
      <c r="P38" s="904"/>
      <c r="Q38" s="904"/>
    </row>
    <row r="39" spans="1:17" ht="48" customHeight="1">
      <c r="A39" s="903"/>
      <c r="B39" s="903"/>
      <c r="C39" s="900" t="s">
        <v>397</v>
      </c>
      <c r="D39" s="901" t="s">
        <v>397</v>
      </c>
      <c r="E39" s="901" t="s">
        <v>397</v>
      </c>
      <c r="F39" s="902" t="s">
        <v>397</v>
      </c>
      <c r="G39" s="900" t="s">
        <v>390</v>
      </c>
      <c r="H39" s="901"/>
      <c r="I39" s="901"/>
      <c r="J39" s="901"/>
      <c r="K39" s="901"/>
      <c r="L39" s="195"/>
      <c r="M39" s="900"/>
      <c r="N39" s="901"/>
      <c r="O39" s="902"/>
      <c r="P39" s="904"/>
      <c r="Q39" s="904"/>
    </row>
    <row r="40" spans="1:17" ht="48" customHeight="1">
      <c r="A40" s="903"/>
      <c r="B40" s="903"/>
      <c r="C40" s="900" t="s">
        <v>1094</v>
      </c>
      <c r="D40" s="901" t="s">
        <v>1094</v>
      </c>
      <c r="E40" s="901" t="s">
        <v>1094</v>
      </c>
      <c r="F40" s="902" t="s">
        <v>1094</v>
      </c>
      <c r="G40" s="900" t="s">
        <v>390</v>
      </c>
      <c r="H40" s="901"/>
      <c r="I40" s="901"/>
      <c r="J40" s="901"/>
      <c r="K40" s="901"/>
      <c r="L40" s="195"/>
      <c r="M40" s="900"/>
      <c r="N40" s="901"/>
      <c r="O40" s="902"/>
      <c r="P40" s="904"/>
      <c r="Q40" s="904"/>
    </row>
    <row r="41" spans="1:17" ht="37.5" customHeight="1">
      <c r="A41" s="903"/>
      <c r="B41" s="903"/>
      <c r="C41" s="900" t="s">
        <v>398</v>
      </c>
      <c r="D41" s="901" t="s">
        <v>398</v>
      </c>
      <c r="E41" s="901" t="s">
        <v>398</v>
      </c>
      <c r="F41" s="902" t="s">
        <v>398</v>
      </c>
      <c r="G41" s="900" t="s">
        <v>390</v>
      </c>
      <c r="H41" s="901"/>
      <c r="I41" s="901"/>
      <c r="J41" s="901"/>
      <c r="K41" s="901"/>
      <c r="L41" s="195"/>
      <c r="M41" s="900"/>
      <c r="N41" s="901"/>
      <c r="O41" s="902"/>
      <c r="P41" s="904"/>
      <c r="Q41" s="904"/>
    </row>
    <row r="42" spans="1:17" ht="27.75" customHeight="1">
      <c r="A42" s="903"/>
      <c r="B42" s="903"/>
      <c r="C42" s="900" t="s">
        <v>399</v>
      </c>
      <c r="D42" s="901" t="s">
        <v>399</v>
      </c>
      <c r="E42" s="901" t="s">
        <v>399</v>
      </c>
      <c r="F42" s="902" t="s">
        <v>399</v>
      </c>
      <c r="G42" s="900" t="s">
        <v>390</v>
      </c>
      <c r="H42" s="901"/>
      <c r="I42" s="901"/>
      <c r="J42" s="901"/>
      <c r="K42" s="901"/>
      <c r="L42" s="195"/>
      <c r="M42" s="900"/>
      <c r="N42" s="901"/>
      <c r="O42" s="902"/>
      <c r="P42" s="904"/>
      <c r="Q42" s="904"/>
    </row>
    <row r="43" spans="1:17" ht="27.75" customHeight="1">
      <c r="A43" s="903"/>
      <c r="B43" s="903"/>
      <c r="C43" s="900" t="s">
        <v>400</v>
      </c>
      <c r="D43" s="901" t="s">
        <v>400</v>
      </c>
      <c r="E43" s="901" t="s">
        <v>400</v>
      </c>
      <c r="F43" s="902" t="s">
        <v>400</v>
      </c>
      <c r="G43" s="900" t="s">
        <v>390</v>
      </c>
      <c r="H43" s="901"/>
      <c r="I43" s="901"/>
      <c r="J43" s="901"/>
      <c r="K43" s="901"/>
      <c r="L43" s="195"/>
      <c r="M43" s="900"/>
      <c r="N43" s="901"/>
      <c r="O43" s="902"/>
    </row>
    <row r="44" spans="1:17" ht="27.75" customHeight="1">
      <c r="A44" s="903"/>
      <c r="B44" s="903"/>
      <c r="C44" s="900" t="s">
        <v>401</v>
      </c>
      <c r="D44" s="901" t="s">
        <v>401</v>
      </c>
      <c r="E44" s="901" t="s">
        <v>401</v>
      </c>
      <c r="F44" s="902" t="s">
        <v>401</v>
      </c>
      <c r="G44" s="900" t="s">
        <v>390</v>
      </c>
      <c r="H44" s="901"/>
      <c r="I44" s="901"/>
      <c r="J44" s="901"/>
      <c r="K44" s="901"/>
      <c r="L44" s="195"/>
      <c r="M44" s="900"/>
      <c r="N44" s="901"/>
      <c r="O44" s="902"/>
    </row>
    <row r="45" spans="1:17" ht="27.75" customHeight="1">
      <c r="A45" s="903"/>
      <c r="B45" s="903"/>
      <c r="C45" s="900" t="s">
        <v>402</v>
      </c>
      <c r="D45" s="901" t="s">
        <v>402</v>
      </c>
      <c r="E45" s="901" t="s">
        <v>402</v>
      </c>
      <c r="F45" s="902" t="s">
        <v>402</v>
      </c>
      <c r="G45" s="900" t="s">
        <v>390</v>
      </c>
      <c r="H45" s="901"/>
      <c r="I45" s="901"/>
      <c r="J45" s="901"/>
      <c r="K45" s="901"/>
      <c r="L45" s="195"/>
      <c r="M45" s="900"/>
      <c r="N45" s="901"/>
      <c r="O45" s="902"/>
    </row>
    <row r="46" spans="1:17" ht="52.5" customHeight="1">
      <c r="A46" s="903"/>
      <c r="B46" s="903"/>
      <c r="C46" s="900" t="s">
        <v>403</v>
      </c>
      <c r="D46" s="901" t="s">
        <v>403</v>
      </c>
      <c r="E46" s="901" t="s">
        <v>403</v>
      </c>
      <c r="F46" s="902" t="s">
        <v>403</v>
      </c>
      <c r="G46" s="900" t="s">
        <v>390</v>
      </c>
      <c r="H46" s="901"/>
      <c r="I46" s="901"/>
      <c r="J46" s="901"/>
      <c r="K46" s="901"/>
      <c r="L46" s="195"/>
      <c r="M46" s="900"/>
      <c r="N46" s="901"/>
      <c r="O46" s="902"/>
    </row>
    <row r="47" spans="1:17" ht="25.5" customHeight="1">
      <c r="A47" s="903"/>
      <c r="B47" s="903"/>
      <c r="C47" s="900" t="s">
        <v>404</v>
      </c>
      <c r="D47" s="901" t="s">
        <v>404</v>
      </c>
      <c r="E47" s="901" t="s">
        <v>404</v>
      </c>
      <c r="F47" s="902" t="s">
        <v>404</v>
      </c>
      <c r="G47" s="900" t="s">
        <v>390</v>
      </c>
      <c r="H47" s="901"/>
      <c r="I47" s="901"/>
      <c r="J47" s="901"/>
      <c r="K47" s="901"/>
      <c r="L47" s="195"/>
      <c r="M47" s="900"/>
      <c r="N47" s="901"/>
      <c r="O47" s="902"/>
    </row>
    <row r="48" spans="1:17" ht="57.75" customHeight="1">
      <c r="A48" s="903"/>
      <c r="B48" s="903"/>
      <c r="C48" s="900" t="s">
        <v>405</v>
      </c>
      <c r="D48" s="901" t="s">
        <v>405</v>
      </c>
      <c r="E48" s="901" t="s">
        <v>405</v>
      </c>
      <c r="F48" s="902" t="s">
        <v>405</v>
      </c>
      <c r="G48" s="900" t="s">
        <v>390</v>
      </c>
      <c r="H48" s="901"/>
      <c r="I48" s="901"/>
      <c r="J48" s="901"/>
      <c r="K48" s="901"/>
      <c r="L48" s="195"/>
      <c r="M48" s="900"/>
      <c r="N48" s="901"/>
      <c r="O48" s="902"/>
    </row>
    <row r="49" spans="1:15" ht="22.5" customHeight="1">
      <c r="A49" s="903"/>
      <c r="B49" s="903"/>
      <c r="C49" s="900" t="s">
        <v>1095</v>
      </c>
      <c r="D49" s="901" t="s">
        <v>1095</v>
      </c>
      <c r="E49" s="901" t="s">
        <v>1095</v>
      </c>
      <c r="F49" s="902" t="s">
        <v>1095</v>
      </c>
      <c r="G49" s="900" t="s">
        <v>390</v>
      </c>
      <c r="H49" s="901"/>
      <c r="I49" s="901"/>
      <c r="J49" s="901"/>
      <c r="K49" s="901"/>
      <c r="L49" s="195"/>
      <c r="M49" s="900"/>
      <c r="N49" s="901"/>
      <c r="O49" s="902"/>
    </row>
    <row r="50" spans="1:15" ht="30" customHeight="1">
      <c r="A50" s="903"/>
      <c r="B50" s="903"/>
      <c r="C50" s="900" t="s">
        <v>1096</v>
      </c>
      <c r="D50" s="901" t="s">
        <v>1096</v>
      </c>
      <c r="E50" s="901" t="s">
        <v>1096</v>
      </c>
      <c r="F50" s="902" t="s">
        <v>1096</v>
      </c>
      <c r="G50" s="900" t="s">
        <v>390</v>
      </c>
      <c r="H50" s="901"/>
      <c r="I50" s="901"/>
      <c r="J50" s="901"/>
      <c r="K50" s="901"/>
      <c r="L50" s="195"/>
      <c r="M50" s="900"/>
      <c r="N50" s="901"/>
      <c r="O50" s="902"/>
    </row>
    <row r="51" spans="1:15" ht="33.75" customHeight="1">
      <c r="A51" s="903"/>
      <c r="B51" s="903"/>
      <c r="C51" s="900" t="s">
        <v>412</v>
      </c>
      <c r="D51" s="901" t="s">
        <v>412</v>
      </c>
      <c r="E51" s="901" t="s">
        <v>412</v>
      </c>
      <c r="F51" s="902" t="s">
        <v>412</v>
      </c>
      <c r="G51" s="900" t="s">
        <v>390</v>
      </c>
      <c r="H51" s="901"/>
      <c r="I51" s="901"/>
      <c r="J51" s="901"/>
      <c r="K51" s="901"/>
      <c r="L51" s="195"/>
      <c r="M51" s="900"/>
      <c r="N51" s="901"/>
      <c r="O51" s="902"/>
    </row>
    <row r="52" spans="1:15" ht="22.5" customHeight="1">
      <c r="A52" s="903"/>
      <c r="B52" s="903"/>
      <c r="C52" s="900" t="s">
        <v>1097</v>
      </c>
      <c r="D52" s="901" t="s">
        <v>1097</v>
      </c>
      <c r="E52" s="901" t="s">
        <v>1097</v>
      </c>
      <c r="F52" s="902" t="s">
        <v>1097</v>
      </c>
      <c r="G52" s="900" t="s">
        <v>390</v>
      </c>
      <c r="H52" s="901"/>
      <c r="I52" s="901"/>
      <c r="J52" s="901"/>
      <c r="K52" s="901"/>
      <c r="L52" s="195"/>
      <c r="M52" s="900"/>
      <c r="N52" s="901"/>
      <c r="O52" s="902"/>
    </row>
    <row r="53" spans="1:15" ht="22.5" customHeight="1">
      <c r="A53" s="903"/>
      <c r="B53" s="903"/>
      <c r="C53" s="900" t="s">
        <v>414</v>
      </c>
      <c r="D53" s="901" t="s">
        <v>414</v>
      </c>
      <c r="E53" s="901" t="s">
        <v>414</v>
      </c>
      <c r="F53" s="902" t="s">
        <v>414</v>
      </c>
      <c r="G53" s="900" t="s">
        <v>390</v>
      </c>
      <c r="H53" s="901"/>
      <c r="I53" s="901"/>
      <c r="J53" s="901"/>
      <c r="K53" s="901"/>
      <c r="L53" s="195"/>
      <c r="M53" s="900"/>
      <c r="N53" s="901"/>
      <c r="O53" s="902"/>
    </row>
    <row r="54" spans="1:15" ht="22.5" customHeight="1">
      <c r="A54" s="903"/>
      <c r="B54" s="903"/>
      <c r="C54" s="900" t="s">
        <v>415</v>
      </c>
      <c r="D54" s="901" t="s">
        <v>415</v>
      </c>
      <c r="E54" s="901" t="s">
        <v>415</v>
      </c>
      <c r="F54" s="902" t="s">
        <v>415</v>
      </c>
      <c r="G54" s="900" t="s">
        <v>390</v>
      </c>
      <c r="H54" s="901"/>
      <c r="I54" s="901"/>
      <c r="J54" s="901"/>
      <c r="K54" s="901"/>
      <c r="L54" s="195"/>
      <c r="M54" s="900"/>
      <c r="N54" s="901"/>
      <c r="O54" s="902"/>
    </row>
    <row r="55" spans="1:15" ht="32.25" customHeight="1">
      <c r="A55" s="903"/>
      <c r="B55" s="903"/>
      <c r="C55" s="900" t="s">
        <v>416</v>
      </c>
      <c r="D55" s="901" t="s">
        <v>416</v>
      </c>
      <c r="E55" s="901" t="s">
        <v>416</v>
      </c>
      <c r="F55" s="902" t="s">
        <v>416</v>
      </c>
      <c r="G55" s="900" t="s">
        <v>390</v>
      </c>
      <c r="H55" s="901"/>
      <c r="I55" s="901"/>
      <c r="J55" s="901"/>
      <c r="K55" s="901"/>
      <c r="L55" s="195"/>
      <c r="M55" s="900"/>
      <c r="N55" s="901"/>
      <c r="O55" s="902"/>
    </row>
    <row r="56" spans="1:15" ht="28.5" customHeight="1">
      <c r="A56" s="903"/>
      <c r="B56" s="903"/>
      <c r="C56" s="900" t="s">
        <v>417</v>
      </c>
      <c r="D56" s="901" t="s">
        <v>417</v>
      </c>
      <c r="E56" s="901" t="s">
        <v>417</v>
      </c>
      <c r="F56" s="902" t="s">
        <v>417</v>
      </c>
      <c r="G56" s="900" t="s">
        <v>390</v>
      </c>
      <c r="H56" s="901"/>
      <c r="I56" s="901"/>
      <c r="J56" s="901"/>
      <c r="K56" s="901"/>
      <c r="L56" s="195"/>
      <c r="M56" s="900"/>
      <c r="N56" s="901"/>
      <c r="O56" s="902"/>
    </row>
    <row r="57" spans="1:15" ht="32.25" customHeight="1">
      <c r="A57" s="903"/>
      <c r="B57" s="903"/>
      <c r="C57" s="900" t="s">
        <v>418</v>
      </c>
      <c r="D57" s="901" t="s">
        <v>418</v>
      </c>
      <c r="E57" s="901" t="s">
        <v>418</v>
      </c>
      <c r="F57" s="902" t="s">
        <v>418</v>
      </c>
      <c r="G57" s="900" t="s">
        <v>390</v>
      </c>
      <c r="H57" s="901"/>
      <c r="I57" s="901"/>
      <c r="J57" s="901"/>
      <c r="K57" s="901"/>
      <c r="L57" s="195"/>
      <c r="M57" s="900"/>
      <c r="N57" s="901"/>
      <c r="O57" s="902"/>
    </row>
    <row r="58" spans="1:15" ht="22.5" customHeight="1">
      <c r="A58" s="763"/>
      <c r="B58" s="763"/>
      <c r="C58" s="905"/>
      <c r="D58" s="905"/>
      <c r="E58" s="905"/>
      <c r="F58" s="905"/>
      <c r="G58" s="905"/>
      <c r="H58" s="905"/>
      <c r="I58" s="905"/>
      <c r="J58" s="905"/>
      <c r="K58" s="905"/>
      <c r="L58" s="905"/>
      <c r="M58" s="905"/>
      <c r="N58" s="905"/>
      <c r="O58" s="905"/>
    </row>
    <row r="59" spans="1:15" ht="22.5" customHeight="1">
      <c r="A59" s="763"/>
      <c r="B59" s="763"/>
      <c r="C59" s="905"/>
      <c r="D59" s="905"/>
      <c r="E59" s="905"/>
      <c r="F59" s="905"/>
      <c r="G59" s="905"/>
      <c r="H59" s="905"/>
      <c r="I59" s="905"/>
      <c r="J59" s="905"/>
      <c r="K59" s="905"/>
      <c r="L59" s="905"/>
      <c r="M59" s="905"/>
      <c r="N59" s="905"/>
      <c r="O59" s="905"/>
    </row>
    <row r="60" spans="1:15" ht="22.5" customHeight="1">
      <c r="A60" s="763"/>
      <c r="B60" s="763"/>
      <c r="C60" s="905"/>
      <c r="D60" s="905"/>
      <c r="E60" s="905"/>
      <c r="F60" s="905"/>
      <c r="G60" s="905"/>
      <c r="H60" s="905"/>
      <c r="I60" s="905"/>
      <c r="J60" s="905"/>
      <c r="K60" s="905"/>
      <c r="L60" s="905"/>
      <c r="M60" s="905"/>
      <c r="N60" s="905"/>
      <c r="O60" s="905"/>
    </row>
    <row r="61" spans="1:15" ht="22.5" customHeight="1">
      <c r="A61" s="763"/>
      <c r="B61" s="763"/>
      <c r="C61" s="905"/>
      <c r="D61" s="905"/>
      <c r="E61" s="905"/>
      <c r="F61" s="905"/>
      <c r="G61" s="905"/>
      <c r="H61" s="905"/>
      <c r="I61" s="905"/>
      <c r="J61" s="905"/>
      <c r="K61" s="905"/>
      <c r="L61" s="905"/>
      <c r="M61" s="905"/>
      <c r="N61" s="905"/>
      <c r="O61" s="905"/>
    </row>
    <row r="62" spans="1:15" ht="22.5" customHeight="1">
      <c r="A62" s="763"/>
      <c r="B62" s="763"/>
      <c r="C62" s="905"/>
      <c r="D62" s="905"/>
      <c r="E62" s="905"/>
      <c r="F62" s="905"/>
      <c r="G62" s="905"/>
      <c r="H62" s="905"/>
      <c r="I62" s="905"/>
      <c r="J62" s="905"/>
      <c r="K62" s="905"/>
      <c r="L62" s="905"/>
      <c r="M62" s="905"/>
      <c r="N62" s="905"/>
      <c r="O62" s="905"/>
    </row>
    <row r="63" spans="1:15" ht="22.5" customHeight="1">
      <c r="A63" s="763"/>
      <c r="B63" s="763"/>
      <c r="C63" s="905"/>
      <c r="D63" s="905"/>
      <c r="E63" s="905"/>
      <c r="F63" s="905"/>
      <c r="G63" s="905"/>
      <c r="H63" s="905"/>
      <c r="I63" s="905"/>
      <c r="J63" s="905"/>
      <c r="K63" s="905"/>
      <c r="L63" s="905"/>
      <c r="M63" s="905"/>
      <c r="N63" s="905"/>
      <c r="O63" s="905"/>
    </row>
    <row r="64" spans="1:15" ht="22.5" customHeight="1">
      <c r="A64" s="763"/>
      <c r="B64" s="763"/>
      <c r="C64" s="905"/>
      <c r="D64" s="905"/>
      <c r="E64" s="905"/>
      <c r="F64" s="905"/>
      <c r="G64" s="905"/>
      <c r="H64" s="905"/>
      <c r="I64" s="905"/>
      <c r="J64" s="905"/>
      <c r="K64" s="905"/>
      <c r="L64" s="905"/>
      <c r="M64" s="905"/>
      <c r="N64" s="905"/>
      <c r="O64" s="905"/>
    </row>
    <row r="65" spans="1:15" ht="22.5" customHeight="1">
      <c r="A65" s="763"/>
      <c r="B65" s="763"/>
      <c r="C65" s="905"/>
      <c r="D65" s="905"/>
      <c r="E65" s="905"/>
      <c r="F65" s="905"/>
      <c r="G65" s="905"/>
      <c r="H65" s="905"/>
      <c r="I65" s="905"/>
      <c r="J65" s="905"/>
      <c r="K65" s="905"/>
      <c r="L65" s="905"/>
      <c r="M65" s="905"/>
      <c r="N65" s="905"/>
      <c r="O65" s="905"/>
    </row>
    <row r="66" spans="1:15" ht="22.5" customHeight="1">
      <c r="A66" s="763"/>
      <c r="B66" s="763"/>
      <c r="C66" s="905"/>
      <c r="D66" s="905"/>
      <c r="E66" s="905"/>
      <c r="F66" s="905"/>
      <c r="G66" s="905"/>
      <c r="H66" s="905"/>
      <c r="I66" s="905"/>
      <c r="J66" s="905"/>
      <c r="K66" s="905"/>
      <c r="L66" s="905"/>
      <c r="M66" s="905"/>
      <c r="N66" s="905"/>
      <c r="O66" s="905"/>
    </row>
    <row r="67" spans="1:15" ht="18" customHeight="1">
      <c r="A67" s="660" t="s">
        <v>622</v>
      </c>
      <c r="B67" s="660"/>
      <c r="C67" s="660"/>
      <c r="D67" s="660"/>
      <c r="E67" s="660"/>
      <c r="F67" s="660"/>
      <c r="G67" s="660"/>
      <c r="H67" s="660"/>
      <c r="I67" s="660"/>
      <c r="J67" s="660"/>
      <c r="K67" s="660"/>
      <c r="L67" s="660"/>
      <c r="M67" s="660"/>
      <c r="N67" s="660"/>
      <c r="O67" s="660"/>
    </row>
    <row r="68" spans="1:15" ht="30.75" customHeight="1"/>
    <row r="69" spans="1:15" ht="15.75" customHeight="1"/>
    <row r="71" spans="1:15" ht="28.5" customHeight="1"/>
    <row r="72" spans="1:15" ht="18" customHeight="1"/>
    <row r="74" spans="1:15" ht="30.75" customHeight="1"/>
  </sheetData>
  <sheetProtection selectLockedCells="1"/>
  <mergeCells count="201">
    <mergeCell ref="A65:B65"/>
    <mergeCell ref="C65:G65"/>
    <mergeCell ref="H65:O65"/>
    <mergeCell ref="A66:B66"/>
    <mergeCell ref="C66:G66"/>
    <mergeCell ref="H66:O66"/>
    <mergeCell ref="A67:O67"/>
    <mergeCell ref="A15:B16"/>
    <mergeCell ref="C15:F16"/>
    <mergeCell ref="G15:K16"/>
    <mergeCell ref="A62:B62"/>
    <mergeCell ref="C62:G62"/>
    <mergeCell ref="H62:O62"/>
    <mergeCell ref="A63:B63"/>
    <mergeCell ref="C63:G63"/>
    <mergeCell ref="H63:O63"/>
    <mergeCell ref="A64:B64"/>
    <mergeCell ref="C64:G64"/>
    <mergeCell ref="H64:O64"/>
    <mergeCell ref="A59:B59"/>
    <mergeCell ref="C59:G59"/>
    <mergeCell ref="H59:O59"/>
    <mergeCell ref="A60:B60"/>
    <mergeCell ref="C60:G60"/>
    <mergeCell ref="H60:O60"/>
    <mergeCell ref="A61:B61"/>
    <mergeCell ref="C61:G61"/>
    <mergeCell ref="H61:O61"/>
    <mergeCell ref="A56:B56"/>
    <mergeCell ref="A57:B57"/>
    <mergeCell ref="A58:B58"/>
    <mergeCell ref="C58:G58"/>
    <mergeCell ref="H58:O58"/>
    <mergeCell ref="C56:F56"/>
    <mergeCell ref="G56:K56"/>
    <mergeCell ref="M56:O56"/>
    <mergeCell ref="C57:F57"/>
    <mergeCell ref="G57:K57"/>
    <mergeCell ref="M57:O57"/>
    <mergeCell ref="A53:B53"/>
    <mergeCell ref="A54:B54"/>
    <mergeCell ref="A55:B55"/>
    <mergeCell ref="C53:F53"/>
    <mergeCell ref="G53:K53"/>
    <mergeCell ref="M53:O53"/>
    <mergeCell ref="C54:F54"/>
    <mergeCell ref="G54:K54"/>
    <mergeCell ref="M54:O54"/>
    <mergeCell ref="C55:F55"/>
    <mergeCell ref="G55:K55"/>
    <mergeCell ref="M55:O55"/>
    <mergeCell ref="A50:B50"/>
    <mergeCell ref="A51:B51"/>
    <mergeCell ref="A52:B52"/>
    <mergeCell ref="C50:F50"/>
    <mergeCell ref="G50:K50"/>
    <mergeCell ref="M50:O50"/>
    <mergeCell ref="C51:F51"/>
    <mergeCell ref="G51:K51"/>
    <mergeCell ref="M51:O51"/>
    <mergeCell ref="C52:F52"/>
    <mergeCell ref="G52:K52"/>
    <mergeCell ref="M52:O52"/>
    <mergeCell ref="A47:B47"/>
    <mergeCell ref="A48:B48"/>
    <mergeCell ref="A49:B49"/>
    <mergeCell ref="C47:F47"/>
    <mergeCell ref="G47:K47"/>
    <mergeCell ref="M47:O47"/>
    <mergeCell ref="C48:F48"/>
    <mergeCell ref="G48:K48"/>
    <mergeCell ref="M48:O48"/>
    <mergeCell ref="C49:F49"/>
    <mergeCell ref="G49:K49"/>
    <mergeCell ref="M49:O49"/>
    <mergeCell ref="A44:B44"/>
    <mergeCell ref="A45:B45"/>
    <mergeCell ref="A46:B46"/>
    <mergeCell ref="C44:F44"/>
    <mergeCell ref="G44:K44"/>
    <mergeCell ref="M44:O44"/>
    <mergeCell ref="C45:F45"/>
    <mergeCell ref="G45:K45"/>
    <mergeCell ref="M45:O45"/>
    <mergeCell ref="C46:F46"/>
    <mergeCell ref="G46:K46"/>
    <mergeCell ref="M46:O46"/>
    <mergeCell ref="A41:B41"/>
    <mergeCell ref="P41:Q41"/>
    <mergeCell ref="A42:B42"/>
    <mergeCell ref="P42:Q42"/>
    <mergeCell ref="A43:B43"/>
    <mergeCell ref="C41:F41"/>
    <mergeCell ref="G41:K41"/>
    <mergeCell ref="M41:O41"/>
    <mergeCell ref="C42:F42"/>
    <mergeCell ref="G42:K42"/>
    <mergeCell ref="M42:O42"/>
    <mergeCell ref="C43:F43"/>
    <mergeCell ref="G43:K43"/>
    <mergeCell ref="M43:O43"/>
    <mergeCell ref="A38:B38"/>
    <mergeCell ref="P38:Q38"/>
    <mergeCell ref="A39:B39"/>
    <mergeCell ref="P39:Q39"/>
    <mergeCell ref="A40:B40"/>
    <mergeCell ref="P40:Q40"/>
    <mergeCell ref="C38:F38"/>
    <mergeCell ref="G38:K38"/>
    <mergeCell ref="M38:O38"/>
    <mergeCell ref="C39:F39"/>
    <mergeCell ref="G39:K39"/>
    <mergeCell ref="M39:O39"/>
    <mergeCell ref="C40:F40"/>
    <mergeCell ref="G40:K40"/>
    <mergeCell ref="M40:O40"/>
    <mergeCell ref="A35:B35"/>
    <mergeCell ref="A36:B36"/>
    <mergeCell ref="A37:B37"/>
    <mergeCell ref="C35:F35"/>
    <mergeCell ref="G35:K35"/>
    <mergeCell ref="M35:O35"/>
    <mergeCell ref="C36:F36"/>
    <mergeCell ref="G36:K36"/>
    <mergeCell ref="M36:O36"/>
    <mergeCell ref="C37:F37"/>
    <mergeCell ref="G37:K37"/>
    <mergeCell ref="M37:O37"/>
    <mergeCell ref="A32:B32"/>
    <mergeCell ref="A33:B33"/>
    <mergeCell ref="A34:B34"/>
    <mergeCell ref="C32:F32"/>
    <mergeCell ref="G32:K32"/>
    <mergeCell ref="M32:O32"/>
    <mergeCell ref="C33:F33"/>
    <mergeCell ref="G33:K33"/>
    <mergeCell ref="M33:O33"/>
    <mergeCell ref="C34:F34"/>
    <mergeCell ref="G34:K34"/>
    <mergeCell ref="M34:O34"/>
    <mergeCell ref="A25:O25"/>
    <mergeCell ref="A26:O26"/>
    <mergeCell ref="A27:O27"/>
    <mergeCell ref="A28:O28"/>
    <mergeCell ref="A29:O29"/>
    <mergeCell ref="A30:B31"/>
    <mergeCell ref="C30:F31"/>
    <mergeCell ref="G30:K30"/>
    <mergeCell ref="L30:L31"/>
    <mergeCell ref="M30:O31"/>
    <mergeCell ref="G31:K31"/>
    <mergeCell ref="A20:B20"/>
    <mergeCell ref="C20:F20"/>
    <mergeCell ref="G20:K20"/>
    <mergeCell ref="A21:B21"/>
    <mergeCell ref="C21:F21"/>
    <mergeCell ref="G21:K21"/>
    <mergeCell ref="A22:O22"/>
    <mergeCell ref="A23:O23"/>
    <mergeCell ref="A24:O24"/>
    <mergeCell ref="A14:O14"/>
    <mergeCell ref="A17:B17"/>
    <mergeCell ref="C17:F17"/>
    <mergeCell ref="G17:K17"/>
    <mergeCell ref="A18:B18"/>
    <mergeCell ref="C18:F18"/>
    <mergeCell ref="G18:K18"/>
    <mergeCell ref="A19:B19"/>
    <mergeCell ref="C19:F19"/>
    <mergeCell ref="G19:K19"/>
    <mergeCell ref="B10:C10"/>
    <mergeCell ref="D10:F10"/>
    <mergeCell ref="G10:J10"/>
    <mergeCell ref="K10:O10"/>
    <mergeCell ref="B11:C11"/>
    <mergeCell ref="D11:O11"/>
    <mergeCell ref="B12:C12"/>
    <mergeCell ref="D12:O12"/>
    <mergeCell ref="B13:C13"/>
    <mergeCell ref="D13:O13"/>
    <mergeCell ref="B6:C6"/>
    <mergeCell ref="D6:O6"/>
    <mergeCell ref="B7:C7"/>
    <mergeCell ref="D7:O7"/>
    <mergeCell ref="B8:C8"/>
    <mergeCell ref="D8:F8"/>
    <mergeCell ref="B9:C9"/>
    <mergeCell ref="D9:F9"/>
    <mergeCell ref="H9:J9"/>
    <mergeCell ref="A1:O1"/>
    <mergeCell ref="B2:C2"/>
    <mergeCell ref="D2:H2"/>
    <mergeCell ref="I2:O2"/>
    <mergeCell ref="B3:C3"/>
    <mergeCell ref="D3:O3"/>
    <mergeCell ref="B4:C4"/>
    <mergeCell ref="D4:O4"/>
    <mergeCell ref="B5:C5"/>
    <mergeCell ref="D5:H5"/>
    <mergeCell ref="I5:K5"/>
    <mergeCell ref="L5:O5"/>
  </mergeCells>
  <dataValidations count="1">
    <dataValidation type="list" sqref="G32:G57 I32:K57" xr:uid="{CEE25947-C6B4-46D5-ABE9-16DB709CD19E}">
      <formula1>"□,☑,N/A"</formula1>
    </dataValidation>
  </dataValidations>
  <hyperlinks>
    <hyperlink ref="P1" location="'Index '!A1" display="Index" xr:uid="{00000000-0004-0000-0900-000000000000}"/>
  </hyperlinks>
  <pageMargins left="0.62992125984252001" right="0.27559055118110198" top="1.14173228346457" bottom="0.74803149606299202" header="0.31496062992126" footer="0.31496062992126"/>
  <pageSetup paperSize="9" scale="90" fitToHeight="0" pageOrder="overThenDown" orientation="portrait"/>
  <headerFooter>
    <oddHeader>&amp;L&amp;G</oddHeader>
    <oddFooter>&amp;CPage &amp;P</oddFooter>
  </headerFooter>
  <legacyDrawingHF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P34"/>
  <sheetViews>
    <sheetView showGridLines="0" zoomScale="70" zoomScaleNormal="70" workbookViewId="0">
      <selection activeCell="B7" sqref="B7:I7"/>
    </sheetView>
  </sheetViews>
  <sheetFormatPr defaultColWidth="11" defaultRowHeight="15"/>
  <cols>
    <col min="1" max="1" width="5" style="3" customWidth="1"/>
    <col min="2" max="2" width="13.625" style="3" customWidth="1"/>
    <col min="3" max="3" width="2.5" style="3" customWidth="1"/>
    <col min="4" max="4" width="4.125" style="3" customWidth="1"/>
    <col min="5" max="5" width="6.625" style="3" customWidth="1"/>
    <col min="6" max="6" width="7.125" style="3" customWidth="1"/>
    <col min="7" max="8" width="3.625" style="3" customWidth="1"/>
    <col min="9" max="9" width="8.125" style="3" customWidth="1"/>
    <col min="10" max="10" width="3.625" style="3" customWidth="1"/>
    <col min="11" max="11" width="5.125" style="3" customWidth="1"/>
    <col min="12" max="12" width="11.125" style="3" customWidth="1"/>
    <col min="13" max="13" width="5" style="3" customWidth="1"/>
    <col min="14" max="14" width="6.125" style="3" customWidth="1"/>
    <col min="15" max="15" width="10.625" style="3" customWidth="1"/>
    <col min="16" max="16384" width="11" style="3"/>
  </cols>
  <sheetData>
    <row r="1" spans="1:16" ht="27.75" customHeight="1">
      <c r="A1" s="906" t="s">
        <v>623</v>
      </c>
      <c r="B1" s="907"/>
      <c r="C1" s="907"/>
      <c r="D1" s="907"/>
      <c r="E1" s="907"/>
      <c r="F1" s="908"/>
      <c r="G1" s="908"/>
      <c r="H1" s="908"/>
      <c r="I1" s="908"/>
      <c r="J1" s="908"/>
      <c r="K1" s="907"/>
      <c r="L1" s="908"/>
      <c r="M1" s="908"/>
      <c r="N1" s="908"/>
      <c r="O1" s="909"/>
      <c r="P1" s="27" t="s">
        <v>48</v>
      </c>
    </row>
    <row r="2" spans="1:16" ht="27.75" customHeight="1">
      <c r="A2" s="723" t="s">
        <v>624</v>
      </c>
      <c r="B2" s="727"/>
      <c r="C2" s="727"/>
      <c r="D2" s="727"/>
      <c r="E2" s="727"/>
      <c r="F2" s="791" t="str">
        <f>IF(ST2AUDDATE1=0," ",ST2AUDDATE1)</f>
        <v/>
      </c>
      <c r="G2" s="791"/>
      <c r="H2" s="791"/>
      <c r="I2" s="791"/>
      <c r="J2" s="791"/>
      <c r="K2" s="28" t="s">
        <v>431</v>
      </c>
      <c r="L2" s="791" t="str">
        <f>IF(ST2AUDDATE2=0," ",ST2AUDDATE2)</f>
        <v/>
      </c>
      <c r="M2" s="791"/>
      <c r="N2" s="791"/>
      <c r="O2" s="791"/>
    </row>
    <row r="3" spans="1:16" ht="27.75" customHeight="1">
      <c r="A3" s="793" t="s">
        <v>312</v>
      </c>
      <c r="B3" s="794"/>
      <c r="C3" s="794"/>
      <c r="D3" s="794"/>
      <c r="E3" s="795"/>
      <c r="F3" s="796" t="str">
        <f>'F03 App Rev &amp; F03-01 Aud Pln'!B8</f>
        <v xml:space="preserve"> </v>
      </c>
      <c r="G3" s="797"/>
      <c r="H3" s="797"/>
      <c r="I3" s="797"/>
      <c r="J3" s="797"/>
      <c r="K3" s="798"/>
      <c r="L3" s="797"/>
      <c r="M3" s="797"/>
      <c r="N3" s="797"/>
      <c r="O3" s="799"/>
    </row>
    <row r="4" spans="1:16" ht="21" customHeight="1">
      <c r="A4" s="800" t="s">
        <v>456</v>
      </c>
      <c r="B4" s="800"/>
      <c r="C4" s="800"/>
      <c r="D4" s="800"/>
      <c r="E4" s="800"/>
      <c r="F4" s="800"/>
      <c r="G4" s="800"/>
      <c r="H4" s="800"/>
      <c r="I4" s="800"/>
      <c r="J4" s="800"/>
      <c r="K4" s="800"/>
      <c r="L4" s="800"/>
      <c r="M4" s="800"/>
      <c r="N4" s="800"/>
      <c r="O4" s="800"/>
    </row>
    <row r="5" spans="1:16" ht="27.75" customHeight="1">
      <c r="A5" s="912" t="s">
        <v>457</v>
      </c>
      <c r="B5" s="914" t="s">
        <v>346</v>
      </c>
      <c r="C5" s="660"/>
      <c r="D5" s="660"/>
      <c r="E5" s="915"/>
      <c r="F5" s="914" t="s">
        <v>458</v>
      </c>
      <c r="G5" s="660"/>
      <c r="H5" s="660"/>
      <c r="I5" s="915"/>
      <c r="J5" s="710" t="s">
        <v>423</v>
      </c>
      <c r="K5" s="854"/>
      <c r="L5" s="854"/>
      <c r="M5" s="854"/>
      <c r="N5" s="854"/>
      <c r="O5" s="711"/>
    </row>
    <row r="6" spans="1:16" ht="27.75" customHeight="1">
      <c r="A6" s="913"/>
      <c r="B6" s="916"/>
      <c r="C6" s="917"/>
      <c r="D6" s="917"/>
      <c r="E6" s="918"/>
      <c r="F6" s="916"/>
      <c r="G6" s="917"/>
      <c r="H6" s="917"/>
      <c r="I6" s="918"/>
      <c r="J6" s="751" t="s">
        <v>625</v>
      </c>
      <c r="K6" s="910"/>
      <c r="L6" s="911"/>
      <c r="M6" s="751" t="s">
        <v>626</v>
      </c>
      <c r="N6" s="910"/>
      <c r="O6" s="911"/>
    </row>
    <row r="7" spans="1:16" ht="27.75" customHeight="1">
      <c r="A7" s="29"/>
      <c r="B7" s="803"/>
      <c r="C7" s="803"/>
      <c r="D7" s="803"/>
      <c r="E7" s="803"/>
      <c r="F7" s="803"/>
      <c r="G7" s="803"/>
      <c r="H7" s="803"/>
      <c r="I7" s="803"/>
      <c r="J7" s="803" t="s">
        <v>461</v>
      </c>
      <c r="K7" s="803"/>
      <c r="L7" s="803"/>
      <c r="M7" s="803" t="s">
        <v>461</v>
      </c>
      <c r="N7" s="803"/>
      <c r="O7" s="803"/>
    </row>
    <row r="8" spans="1:16" ht="27.75" customHeight="1">
      <c r="A8" s="29"/>
      <c r="B8" s="803"/>
      <c r="C8" s="803"/>
      <c r="D8" s="803"/>
      <c r="E8" s="803"/>
      <c r="F8" s="803"/>
      <c r="G8" s="803"/>
      <c r="H8" s="803"/>
      <c r="I8" s="803"/>
      <c r="J8" s="803"/>
      <c r="K8" s="803"/>
      <c r="L8" s="803"/>
      <c r="M8" s="803"/>
      <c r="N8" s="803"/>
      <c r="O8" s="803"/>
    </row>
    <row r="9" spans="1:16" ht="28.5" customHeight="1">
      <c r="A9" s="29"/>
      <c r="B9" s="644"/>
      <c r="C9" s="804"/>
      <c r="D9" s="804"/>
      <c r="E9" s="805"/>
      <c r="F9" s="803"/>
      <c r="G9" s="803"/>
      <c r="H9" s="803"/>
      <c r="I9" s="803"/>
      <c r="J9" s="803"/>
      <c r="K9" s="803"/>
      <c r="L9" s="803"/>
      <c r="M9" s="803"/>
      <c r="N9" s="803"/>
      <c r="O9" s="803"/>
    </row>
    <row r="10" spans="1:16" ht="27.75" customHeight="1">
      <c r="A10" s="29"/>
      <c r="B10" s="803"/>
      <c r="C10" s="803"/>
      <c r="D10" s="803"/>
      <c r="E10" s="803"/>
      <c r="F10" s="803"/>
      <c r="G10" s="803"/>
      <c r="H10" s="803"/>
      <c r="I10" s="803"/>
      <c r="J10" s="803"/>
      <c r="K10" s="803"/>
      <c r="L10" s="803"/>
      <c r="M10" s="803"/>
      <c r="N10" s="803"/>
      <c r="O10" s="803"/>
    </row>
    <row r="11" spans="1:16" ht="27.75" customHeight="1">
      <c r="A11" s="29"/>
      <c r="B11" s="803"/>
      <c r="C11" s="803"/>
      <c r="D11" s="803"/>
      <c r="E11" s="803"/>
      <c r="F11" s="803"/>
      <c r="G11" s="803"/>
      <c r="H11" s="803"/>
      <c r="I11" s="803"/>
      <c r="J11" s="803"/>
      <c r="K11" s="803"/>
      <c r="L11" s="803"/>
      <c r="M11" s="803"/>
      <c r="N11" s="803"/>
      <c r="O11" s="803"/>
    </row>
    <row r="12" spans="1:16" ht="27.75" customHeight="1">
      <c r="A12" s="29"/>
      <c r="B12" s="803"/>
      <c r="C12" s="803"/>
      <c r="D12" s="803"/>
      <c r="E12" s="803"/>
      <c r="F12" s="803"/>
      <c r="G12" s="803"/>
      <c r="H12" s="803"/>
      <c r="I12" s="803"/>
      <c r="J12" s="803"/>
      <c r="K12" s="803"/>
      <c r="L12" s="803"/>
      <c r="M12" s="803"/>
      <c r="N12" s="803"/>
      <c r="O12" s="803"/>
    </row>
    <row r="13" spans="1:16" ht="27.75" customHeight="1">
      <c r="A13" s="29"/>
      <c r="B13" s="803"/>
      <c r="C13" s="803"/>
      <c r="D13" s="803"/>
      <c r="E13" s="803"/>
      <c r="F13" s="803"/>
      <c r="G13" s="803"/>
      <c r="H13" s="803"/>
      <c r="I13" s="803"/>
      <c r="J13" s="803"/>
      <c r="K13" s="803"/>
      <c r="L13" s="803"/>
      <c r="M13" s="803"/>
      <c r="N13" s="803"/>
      <c r="O13" s="803"/>
    </row>
    <row r="14" spans="1:16" ht="27.75" customHeight="1">
      <c r="A14" s="29"/>
      <c r="B14" s="803"/>
      <c r="C14" s="803"/>
      <c r="D14" s="803"/>
      <c r="E14" s="803"/>
      <c r="F14" s="803"/>
      <c r="G14" s="803"/>
      <c r="H14" s="803"/>
      <c r="I14" s="803"/>
      <c r="J14" s="803"/>
      <c r="K14" s="803"/>
      <c r="L14" s="803"/>
      <c r="M14" s="803"/>
      <c r="N14" s="803"/>
      <c r="O14" s="803"/>
    </row>
    <row r="15" spans="1:16" ht="27.75" customHeight="1">
      <c r="A15" s="29"/>
      <c r="B15" s="803"/>
      <c r="C15" s="803"/>
      <c r="D15" s="803"/>
      <c r="E15" s="803"/>
      <c r="F15" s="803"/>
      <c r="G15" s="803"/>
      <c r="H15" s="803"/>
      <c r="I15" s="803"/>
      <c r="J15" s="803"/>
      <c r="K15" s="803"/>
      <c r="L15" s="803"/>
      <c r="M15" s="803"/>
      <c r="N15" s="803"/>
      <c r="O15" s="803"/>
    </row>
    <row r="16" spans="1:16" ht="27.75" customHeight="1">
      <c r="A16" s="29"/>
      <c r="B16" s="803"/>
      <c r="C16" s="803"/>
      <c r="D16" s="803"/>
      <c r="E16" s="803"/>
      <c r="F16" s="803"/>
      <c r="G16" s="803"/>
      <c r="H16" s="803"/>
      <c r="I16" s="803"/>
      <c r="J16" s="803"/>
      <c r="K16" s="803"/>
      <c r="L16" s="803"/>
      <c r="M16" s="803"/>
      <c r="N16" s="803"/>
      <c r="O16" s="803"/>
    </row>
    <row r="17" spans="1:15" ht="27.75" customHeight="1">
      <c r="A17" s="29"/>
      <c r="B17" s="803"/>
      <c r="C17" s="803"/>
      <c r="D17" s="803"/>
      <c r="E17" s="803"/>
      <c r="F17" s="803"/>
      <c r="G17" s="803"/>
      <c r="H17" s="803"/>
      <c r="I17" s="803"/>
      <c r="J17" s="803"/>
      <c r="K17" s="803"/>
      <c r="L17" s="803"/>
      <c r="M17" s="803"/>
      <c r="N17" s="803"/>
      <c r="O17" s="803"/>
    </row>
    <row r="18" spans="1:15" ht="27.75" customHeight="1">
      <c r="A18" s="29"/>
      <c r="B18" s="803"/>
      <c r="C18" s="803"/>
      <c r="D18" s="803"/>
      <c r="E18" s="803"/>
      <c r="F18" s="803"/>
      <c r="G18" s="803"/>
      <c r="H18" s="803"/>
      <c r="I18" s="803"/>
      <c r="J18" s="803"/>
      <c r="K18" s="803"/>
      <c r="L18" s="803"/>
      <c r="M18" s="803"/>
      <c r="N18" s="803"/>
      <c r="O18" s="803"/>
    </row>
    <row r="19" spans="1:15" ht="27.75" customHeight="1">
      <c r="A19" s="29"/>
      <c r="B19" s="803"/>
      <c r="C19" s="803"/>
      <c r="D19" s="803"/>
      <c r="E19" s="803"/>
      <c r="F19" s="803"/>
      <c r="G19" s="803"/>
      <c r="H19" s="803"/>
      <c r="I19" s="803"/>
      <c r="J19" s="803"/>
      <c r="K19" s="803"/>
      <c r="L19" s="803"/>
      <c r="M19" s="803"/>
      <c r="N19" s="803"/>
      <c r="O19" s="803"/>
    </row>
    <row r="20" spans="1:15" ht="27.75" customHeight="1">
      <c r="A20" s="29"/>
      <c r="B20" s="803"/>
      <c r="C20" s="803"/>
      <c r="D20" s="803"/>
      <c r="E20" s="803"/>
      <c r="F20" s="803"/>
      <c r="G20" s="803"/>
      <c r="H20" s="803"/>
      <c r="I20" s="803"/>
      <c r="J20" s="803"/>
      <c r="K20" s="803"/>
      <c r="L20" s="803"/>
      <c r="M20" s="803"/>
      <c r="N20" s="803"/>
      <c r="O20" s="803"/>
    </row>
    <row r="21" spans="1:15" ht="27.75" customHeight="1">
      <c r="A21" s="29"/>
      <c r="B21" s="803"/>
      <c r="C21" s="803"/>
      <c r="D21" s="803"/>
      <c r="E21" s="803"/>
      <c r="F21" s="803"/>
      <c r="G21" s="803"/>
      <c r="H21" s="803"/>
      <c r="I21" s="803"/>
      <c r="J21" s="803"/>
      <c r="K21" s="803"/>
      <c r="L21" s="803"/>
      <c r="M21" s="803"/>
      <c r="N21" s="803"/>
      <c r="O21" s="803"/>
    </row>
    <row r="22" spans="1:15" ht="27.75" customHeight="1">
      <c r="A22" s="29"/>
      <c r="B22" s="803"/>
      <c r="C22" s="803"/>
      <c r="D22" s="803"/>
      <c r="E22" s="803"/>
      <c r="F22" s="803"/>
      <c r="G22" s="803"/>
      <c r="H22" s="803"/>
      <c r="I22" s="803"/>
      <c r="J22" s="803"/>
      <c r="K22" s="803"/>
      <c r="L22" s="803"/>
      <c r="M22" s="803"/>
      <c r="N22" s="803"/>
      <c r="O22" s="803"/>
    </row>
    <row r="23" spans="1:15" ht="27.75" customHeight="1">
      <c r="A23" s="29"/>
      <c r="B23" s="803"/>
      <c r="C23" s="803"/>
      <c r="D23" s="803"/>
      <c r="E23" s="803"/>
      <c r="F23" s="803"/>
      <c r="G23" s="803"/>
      <c r="H23" s="803"/>
      <c r="I23" s="803"/>
      <c r="J23" s="803"/>
      <c r="K23" s="803"/>
      <c r="L23" s="803"/>
      <c r="M23" s="803"/>
      <c r="N23" s="803"/>
      <c r="O23" s="803"/>
    </row>
    <row r="24" spans="1:15" ht="27.75" customHeight="1">
      <c r="A24" s="29"/>
      <c r="B24" s="803"/>
      <c r="C24" s="803"/>
      <c r="D24" s="803"/>
      <c r="E24" s="803"/>
      <c r="F24" s="803"/>
      <c r="G24" s="803"/>
      <c r="H24" s="803"/>
      <c r="I24" s="803"/>
      <c r="J24" s="803"/>
      <c r="K24" s="803"/>
      <c r="L24" s="803"/>
      <c r="M24" s="803"/>
      <c r="N24" s="803"/>
      <c r="O24" s="803"/>
    </row>
    <row r="25" spans="1:15" ht="18" customHeight="1">
      <c r="A25" s="29"/>
      <c r="B25" s="803"/>
      <c r="C25" s="803"/>
      <c r="D25" s="803"/>
      <c r="E25" s="803"/>
      <c r="F25" s="803"/>
      <c r="G25" s="803"/>
      <c r="H25" s="803"/>
      <c r="I25" s="803"/>
      <c r="J25" s="803"/>
      <c r="K25" s="803"/>
      <c r="L25" s="803"/>
      <c r="M25" s="803"/>
      <c r="N25" s="803"/>
      <c r="O25" s="803"/>
    </row>
    <row r="26" spans="1:15" ht="18" customHeight="1">
      <c r="A26" s="29"/>
      <c r="B26" s="803"/>
      <c r="C26" s="803"/>
      <c r="D26" s="803"/>
      <c r="E26" s="803"/>
      <c r="F26" s="803"/>
      <c r="G26" s="803"/>
      <c r="H26" s="803"/>
      <c r="I26" s="803"/>
      <c r="J26" s="803"/>
      <c r="K26" s="803"/>
      <c r="L26" s="803"/>
      <c r="M26" s="803"/>
      <c r="N26" s="803"/>
      <c r="O26" s="803"/>
    </row>
    <row r="27" spans="1:15" ht="18" customHeight="1">
      <c r="A27" s="29"/>
      <c r="B27" s="803"/>
      <c r="C27" s="803"/>
      <c r="D27" s="803"/>
      <c r="E27" s="803"/>
      <c r="F27" s="803"/>
      <c r="G27" s="803"/>
      <c r="H27" s="803"/>
      <c r="I27" s="803"/>
      <c r="J27" s="803"/>
      <c r="K27" s="803"/>
      <c r="L27" s="803"/>
      <c r="M27" s="803"/>
      <c r="N27" s="803"/>
      <c r="O27" s="803"/>
    </row>
    <row r="28" spans="1:15" ht="30.75" customHeight="1"/>
    <row r="29" spans="1:15" ht="15.75" customHeight="1"/>
    <row r="31" spans="1:15" ht="28.5" customHeight="1"/>
    <row r="32" spans="1:15" ht="18" customHeight="1"/>
    <row r="34" ht="30.75" customHeight="1"/>
  </sheetData>
  <sheetProtection selectLockedCells="1"/>
  <mergeCells count="97">
    <mergeCell ref="B26:E26"/>
    <mergeCell ref="F26:I26"/>
    <mergeCell ref="J26:L26"/>
    <mergeCell ref="M26:O26"/>
    <mergeCell ref="B27:E27"/>
    <mergeCell ref="F27:I27"/>
    <mergeCell ref="J27:L27"/>
    <mergeCell ref="M27:O27"/>
    <mergeCell ref="B24:E24"/>
    <mergeCell ref="F24:I24"/>
    <mergeCell ref="J24:L24"/>
    <mergeCell ref="M24:O24"/>
    <mergeCell ref="B25:E25"/>
    <mergeCell ref="F25:I25"/>
    <mergeCell ref="J25:L25"/>
    <mergeCell ref="M25:O25"/>
    <mergeCell ref="B22:E22"/>
    <mergeCell ref="F22:I22"/>
    <mergeCell ref="J22:L22"/>
    <mergeCell ref="M22:O22"/>
    <mergeCell ref="B23:E23"/>
    <mergeCell ref="F23:I23"/>
    <mergeCell ref="J23:L23"/>
    <mergeCell ref="M23:O23"/>
    <mergeCell ref="B20:E20"/>
    <mergeCell ref="F20:I20"/>
    <mergeCell ref="J20:L20"/>
    <mergeCell ref="M20:O20"/>
    <mergeCell ref="B21:E21"/>
    <mergeCell ref="F21:I21"/>
    <mergeCell ref="J21:L21"/>
    <mergeCell ref="M21:O21"/>
    <mergeCell ref="B18:E18"/>
    <mergeCell ref="F18:I18"/>
    <mergeCell ref="J18:L18"/>
    <mergeCell ref="M18:O18"/>
    <mergeCell ref="B19:E19"/>
    <mergeCell ref="F19:I19"/>
    <mergeCell ref="J19:L19"/>
    <mergeCell ref="M19:O19"/>
    <mergeCell ref="B16:E16"/>
    <mergeCell ref="F16:I16"/>
    <mergeCell ref="J16:L16"/>
    <mergeCell ref="M16:O16"/>
    <mergeCell ref="B17:E17"/>
    <mergeCell ref="F17:I17"/>
    <mergeCell ref="J17:L17"/>
    <mergeCell ref="M17:O17"/>
    <mergeCell ref="B14:E14"/>
    <mergeCell ref="F14:I14"/>
    <mergeCell ref="J14:L14"/>
    <mergeCell ref="M14:O14"/>
    <mergeCell ref="B15:E15"/>
    <mergeCell ref="F15:I15"/>
    <mergeCell ref="J15:L15"/>
    <mergeCell ref="M15:O15"/>
    <mergeCell ref="B12:E12"/>
    <mergeCell ref="F12:I12"/>
    <mergeCell ref="J12:L12"/>
    <mergeCell ref="M12:O12"/>
    <mergeCell ref="B13:E13"/>
    <mergeCell ref="F13:I13"/>
    <mergeCell ref="J13:L13"/>
    <mergeCell ref="M13:O13"/>
    <mergeCell ref="B10:E10"/>
    <mergeCell ref="F10:I10"/>
    <mergeCell ref="J10:L10"/>
    <mergeCell ref="M10:O10"/>
    <mergeCell ref="B11:E11"/>
    <mergeCell ref="F11:I11"/>
    <mergeCell ref="J11:L11"/>
    <mergeCell ref="M11:O11"/>
    <mergeCell ref="B8:E8"/>
    <mergeCell ref="F8:I8"/>
    <mergeCell ref="J8:L8"/>
    <mergeCell ref="M8:O8"/>
    <mergeCell ref="B9:E9"/>
    <mergeCell ref="F9:I9"/>
    <mergeCell ref="J9:L9"/>
    <mergeCell ref="M9:O9"/>
    <mergeCell ref="A4:O4"/>
    <mergeCell ref="J5:O5"/>
    <mergeCell ref="J6:L6"/>
    <mergeCell ref="M6:O6"/>
    <mergeCell ref="B7:E7"/>
    <mergeCell ref="F7:I7"/>
    <mergeCell ref="J7:L7"/>
    <mergeCell ref="M7:O7"/>
    <mergeCell ref="A5:A6"/>
    <mergeCell ref="B5:E6"/>
    <mergeCell ref="F5:I6"/>
    <mergeCell ref="A1:O1"/>
    <mergeCell ref="A2:E2"/>
    <mergeCell ref="F2:J2"/>
    <mergeCell ref="L2:O2"/>
    <mergeCell ref="A3:E3"/>
    <mergeCell ref="F3:O3"/>
  </mergeCells>
  <hyperlinks>
    <hyperlink ref="P1" location="'Index '!A1" display="Index" xr:uid="{00000000-0004-0000-0A00-000000000000}"/>
  </hyperlinks>
  <pageMargins left="0.62992125984252001" right="0.27559055118110198" top="1.25984251968504" bottom="0.74803149606299202" header="0.31496062992126" footer="0.31496062992126"/>
  <pageSetup paperSize="9" scale="90" fitToHeight="0" pageOrder="overThenDown" orientation="portrait"/>
  <headerFooter>
    <oddHeader>&amp;L&amp;G</oddHeader>
    <oddFooter>&amp;CPage &amp;P</oddFooter>
  </headerFooter>
  <legacyDrawingHF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pageSetUpPr fitToPage="1"/>
  </sheetPr>
  <dimension ref="A1:X109"/>
  <sheetViews>
    <sheetView showGridLines="0" topLeftCell="A79" zoomScale="90" zoomScaleNormal="90" zoomScalePageLayoutView="125" workbookViewId="0">
      <selection activeCell="J81" sqref="J81"/>
    </sheetView>
  </sheetViews>
  <sheetFormatPr defaultColWidth="11" defaultRowHeight="15"/>
  <cols>
    <col min="1" max="1" width="7.625" style="3" customWidth="1"/>
    <col min="2" max="2" width="26.375" style="3" customWidth="1"/>
    <col min="3" max="3" width="10.125" style="3" customWidth="1"/>
    <col min="4" max="4" width="21.625" style="3" customWidth="1"/>
    <col min="5" max="5" width="9.625" style="3" customWidth="1"/>
    <col min="6" max="6" width="10.375" style="3" customWidth="1"/>
    <col min="7" max="7" width="10.875" style="3" customWidth="1"/>
    <col min="8" max="8" width="20.5" style="3" customWidth="1"/>
    <col min="9" max="9" width="16.375" style="3" customWidth="1"/>
    <col min="10" max="10" width="19.875" style="3" customWidth="1"/>
    <col min="11" max="11" width="16.5" style="3" customWidth="1"/>
    <col min="12" max="12" width="17.125" style="3" customWidth="1"/>
    <col min="13" max="13" width="4.625" style="3" customWidth="1"/>
    <col min="14" max="14" width="5.5" style="3" customWidth="1"/>
    <col min="15" max="15" width="10.125" style="3" customWidth="1"/>
    <col min="16" max="16" width="0.25" style="3" customWidth="1"/>
    <col min="17" max="17" width="11" style="3" hidden="1" customWidth="1"/>
    <col min="18" max="16384" width="11" style="3"/>
  </cols>
  <sheetData>
    <row r="1" spans="1:24" ht="18.75">
      <c r="A1" s="919" t="s">
        <v>627</v>
      </c>
      <c r="B1" s="919"/>
      <c r="C1" s="919"/>
      <c r="D1" s="919"/>
      <c r="E1" s="919"/>
      <c r="F1" s="919"/>
      <c r="G1" s="919"/>
      <c r="H1" s="919"/>
      <c r="I1" s="919"/>
      <c r="J1" s="919"/>
      <c r="K1" s="920"/>
      <c r="L1" s="104" t="s">
        <v>467</v>
      </c>
      <c r="M1" s="104" t="s">
        <v>467</v>
      </c>
      <c r="N1" s="104" t="s">
        <v>467</v>
      </c>
      <c r="O1" s="104" t="s">
        <v>467</v>
      </c>
      <c r="P1" s="104" t="s">
        <v>467</v>
      </c>
      <c r="S1" s="25"/>
      <c r="T1" s="25"/>
      <c r="U1" s="25"/>
      <c r="V1" s="25"/>
      <c r="W1" s="25"/>
      <c r="X1" s="25"/>
    </row>
    <row r="2" spans="1:24">
      <c r="A2" s="921" t="s">
        <v>1087</v>
      </c>
      <c r="B2" s="921"/>
      <c r="C2" s="921"/>
      <c r="D2" s="921"/>
      <c r="E2" s="921"/>
      <c r="F2" s="921"/>
      <c r="G2" s="921"/>
      <c r="H2" s="921"/>
      <c r="I2" s="921"/>
      <c r="J2" s="921"/>
      <c r="K2" s="922"/>
      <c r="L2" s="105" t="s">
        <v>467</v>
      </c>
      <c r="M2" s="105" t="s">
        <v>467</v>
      </c>
      <c r="N2" s="105" t="s">
        <v>467</v>
      </c>
      <c r="O2" s="105" t="s">
        <v>467</v>
      </c>
      <c r="P2" s="105" t="s">
        <v>467</v>
      </c>
    </row>
    <row r="3" spans="1:24">
      <c r="A3" s="921" t="s">
        <v>817</v>
      </c>
      <c r="B3" s="921"/>
      <c r="C3" s="921"/>
      <c r="D3" s="921"/>
      <c r="E3" s="921"/>
      <c r="F3" s="921"/>
      <c r="G3" s="921"/>
      <c r="H3" s="921"/>
      <c r="I3" s="921"/>
      <c r="J3" s="921"/>
      <c r="K3" s="922"/>
      <c r="L3" s="105" t="s">
        <v>467</v>
      </c>
      <c r="M3" s="105" t="s">
        <v>467</v>
      </c>
      <c r="N3" s="105" t="s">
        <v>467</v>
      </c>
      <c r="O3" s="105" t="s">
        <v>467</v>
      </c>
      <c r="P3" s="105" t="s">
        <v>467</v>
      </c>
    </row>
    <row r="4" spans="1:24">
      <c r="A4" s="923" t="s">
        <v>465</v>
      </c>
      <c r="B4" s="923"/>
      <c r="C4" s="923"/>
      <c r="D4" s="923"/>
      <c r="E4" s="923"/>
      <c r="F4" s="923"/>
      <c r="G4" s="923"/>
      <c r="H4" s="923"/>
      <c r="I4" s="923"/>
      <c r="J4" s="923"/>
      <c r="K4" s="924"/>
      <c r="L4" s="106" t="s">
        <v>467</v>
      </c>
      <c r="M4" s="106" t="s">
        <v>467</v>
      </c>
      <c r="N4" s="106" t="s">
        <v>467</v>
      </c>
      <c r="O4" s="106" t="s">
        <v>467</v>
      </c>
      <c r="P4" s="106" t="s">
        <v>467</v>
      </c>
    </row>
    <row r="5" spans="1:24">
      <c r="A5" s="107" t="s">
        <v>466</v>
      </c>
      <c r="B5" s="925" t="s">
        <v>426</v>
      </c>
      <c r="C5" s="925" t="s">
        <v>467</v>
      </c>
      <c r="D5" s="926" t="s">
        <v>467</v>
      </c>
      <c r="E5" s="926"/>
      <c r="F5" s="926"/>
      <c r="G5" s="926"/>
      <c r="H5" s="926" t="s">
        <v>467</v>
      </c>
      <c r="I5" s="926"/>
      <c r="J5" s="927" t="s">
        <v>467</v>
      </c>
      <c r="K5" s="928" t="s">
        <v>467</v>
      </c>
      <c r="L5" s="929" t="s">
        <v>467</v>
      </c>
      <c r="M5" s="929" t="s">
        <v>467</v>
      </c>
      <c r="N5" s="929" t="s">
        <v>467</v>
      </c>
      <c r="O5" s="929" t="s">
        <v>467</v>
      </c>
      <c r="P5" s="929" t="s">
        <v>467</v>
      </c>
    </row>
    <row r="6" spans="1:24">
      <c r="A6" s="107" t="s">
        <v>471</v>
      </c>
      <c r="B6" s="925" t="s">
        <v>310</v>
      </c>
      <c r="C6" s="925" t="s">
        <v>467</v>
      </c>
      <c r="D6" s="926" t="s">
        <v>467</v>
      </c>
      <c r="E6" s="926" t="s">
        <v>467</v>
      </c>
      <c r="F6" s="926" t="s">
        <v>467</v>
      </c>
      <c r="G6" s="926" t="s">
        <v>467</v>
      </c>
      <c r="H6" s="926"/>
      <c r="I6" s="926"/>
      <c r="J6" s="927" t="s">
        <v>467</v>
      </c>
      <c r="K6" s="928" t="s">
        <v>467</v>
      </c>
      <c r="L6" s="929" t="s">
        <v>467</v>
      </c>
      <c r="M6" s="929" t="s">
        <v>467</v>
      </c>
      <c r="N6" s="929" t="s">
        <v>467</v>
      </c>
      <c r="O6" s="929" t="s">
        <v>467</v>
      </c>
      <c r="P6" s="929" t="s">
        <v>467</v>
      </c>
    </row>
    <row r="7" spans="1:24">
      <c r="A7" s="107" t="s">
        <v>474</v>
      </c>
      <c r="B7" s="925" t="s">
        <v>311</v>
      </c>
      <c r="C7" s="925" t="s">
        <v>467</v>
      </c>
      <c r="D7" s="926" t="s">
        <v>467</v>
      </c>
      <c r="E7" s="926" t="s">
        <v>467</v>
      </c>
      <c r="F7" s="926" t="s">
        <v>467</v>
      </c>
      <c r="G7" s="926" t="s">
        <v>467</v>
      </c>
      <c r="H7" s="926"/>
      <c r="I7" s="926"/>
      <c r="J7" s="927" t="s">
        <v>467</v>
      </c>
      <c r="K7" s="928" t="s">
        <v>467</v>
      </c>
      <c r="L7" s="929" t="s">
        <v>467</v>
      </c>
      <c r="M7" s="929" t="s">
        <v>467</v>
      </c>
      <c r="N7" s="929" t="s">
        <v>467</v>
      </c>
      <c r="O7" s="929" t="s">
        <v>467</v>
      </c>
      <c r="P7" s="929" t="s">
        <v>467</v>
      </c>
    </row>
    <row r="8" spans="1:24">
      <c r="A8" s="107" t="s">
        <v>475</v>
      </c>
      <c r="B8" s="925" t="s">
        <v>55</v>
      </c>
      <c r="C8" s="925" t="s">
        <v>467</v>
      </c>
      <c r="D8" s="926" t="s">
        <v>467</v>
      </c>
      <c r="E8" s="926" t="s">
        <v>467</v>
      </c>
      <c r="F8" s="926" t="s">
        <v>467</v>
      </c>
      <c r="G8" s="926" t="s">
        <v>467</v>
      </c>
      <c r="H8" s="927" t="s">
        <v>427</v>
      </c>
      <c r="I8" s="927" t="s">
        <v>467</v>
      </c>
      <c r="J8" s="927"/>
      <c r="K8" s="928"/>
      <c r="L8" s="929" t="s">
        <v>467</v>
      </c>
      <c r="M8" s="929" t="s">
        <v>467</v>
      </c>
      <c r="N8" s="929" t="s">
        <v>467</v>
      </c>
      <c r="O8" s="929" t="s">
        <v>467</v>
      </c>
      <c r="P8" s="929" t="s">
        <v>467</v>
      </c>
    </row>
    <row r="9" spans="1:24">
      <c r="A9" s="107" t="s">
        <v>477</v>
      </c>
      <c r="B9" s="925" t="s">
        <v>428</v>
      </c>
      <c r="C9" s="925" t="s">
        <v>467</v>
      </c>
      <c r="D9" s="926" t="s">
        <v>318</v>
      </c>
      <c r="E9" s="926" t="s">
        <v>467</v>
      </c>
      <c r="F9" s="926" t="s">
        <v>467</v>
      </c>
      <c r="G9" s="926" t="s">
        <v>467</v>
      </c>
      <c r="H9" s="927" t="s">
        <v>628</v>
      </c>
      <c r="I9" s="927" t="s">
        <v>467</v>
      </c>
      <c r="J9" s="927"/>
      <c r="K9" s="928"/>
      <c r="L9" s="929" t="s">
        <v>467</v>
      </c>
      <c r="M9" s="929" t="s">
        <v>467</v>
      </c>
      <c r="N9" s="929" t="s">
        <v>467</v>
      </c>
      <c r="O9" s="929" t="s">
        <v>467</v>
      </c>
      <c r="P9" s="929" t="s">
        <v>467</v>
      </c>
    </row>
    <row r="10" spans="1:24" ht="30" customHeight="1">
      <c r="A10" s="107" t="s">
        <v>478</v>
      </c>
      <c r="B10" s="925" t="s">
        <v>319</v>
      </c>
      <c r="C10" s="925" t="s">
        <v>467</v>
      </c>
      <c r="D10" s="926" t="s">
        <v>389</v>
      </c>
      <c r="E10" s="926" t="s">
        <v>467</v>
      </c>
      <c r="F10" s="926" t="s">
        <v>467</v>
      </c>
      <c r="G10" s="926" t="s">
        <v>467</v>
      </c>
      <c r="H10" s="926"/>
      <c r="I10" s="926"/>
      <c r="J10" s="927" t="s">
        <v>467</v>
      </c>
      <c r="K10" s="928" t="s">
        <v>467</v>
      </c>
      <c r="L10" s="929" t="s">
        <v>467</v>
      </c>
      <c r="M10" s="929" t="s">
        <v>467</v>
      </c>
      <c r="N10" s="929" t="s">
        <v>467</v>
      </c>
      <c r="O10" s="929" t="s">
        <v>467</v>
      </c>
      <c r="P10" s="929" t="s">
        <v>467</v>
      </c>
    </row>
    <row r="11" spans="1:24">
      <c r="A11" s="107" t="s">
        <v>480</v>
      </c>
      <c r="B11" s="925" t="s">
        <v>629</v>
      </c>
      <c r="C11" s="925" t="s">
        <v>467</v>
      </c>
      <c r="D11" s="926" t="s">
        <v>467</v>
      </c>
      <c r="E11" s="926" t="s">
        <v>467</v>
      </c>
      <c r="F11" s="926" t="s">
        <v>467</v>
      </c>
      <c r="G11" s="926" t="s">
        <v>467</v>
      </c>
      <c r="H11" s="926"/>
      <c r="I11" s="926"/>
      <c r="J11" s="927" t="s">
        <v>467</v>
      </c>
      <c r="K11" s="928" t="s">
        <v>467</v>
      </c>
      <c r="L11" s="929" t="s">
        <v>467</v>
      </c>
      <c r="M11" s="929" t="s">
        <v>467</v>
      </c>
      <c r="N11" s="929" t="s">
        <v>467</v>
      </c>
      <c r="O11" s="929" t="s">
        <v>467</v>
      </c>
      <c r="P11" s="929" t="s">
        <v>467</v>
      </c>
    </row>
    <row r="12" spans="1:24">
      <c r="A12" s="107" t="s">
        <v>483</v>
      </c>
      <c r="B12" s="925" t="s">
        <v>321</v>
      </c>
      <c r="C12" s="925" t="s">
        <v>467</v>
      </c>
      <c r="D12" s="926" t="s">
        <v>467</v>
      </c>
      <c r="E12" s="926" t="s">
        <v>467</v>
      </c>
      <c r="F12" s="926" t="s">
        <v>467</v>
      </c>
      <c r="G12" s="926" t="s">
        <v>467</v>
      </c>
      <c r="H12" s="926"/>
      <c r="I12" s="926"/>
      <c r="J12" s="927" t="s">
        <v>467</v>
      </c>
      <c r="K12" s="928" t="s">
        <v>467</v>
      </c>
      <c r="L12" s="929" t="s">
        <v>467</v>
      </c>
      <c r="M12" s="929" t="s">
        <v>467</v>
      </c>
      <c r="N12" s="929" t="s">
        <v>467</v>
      </c>
      <c r="O12" s="929" t="s">
        <v>467</v>
      </c>
      <c r="P12" s="929" t="s">
        <v>467</v>
      </c>
    </row>
    <row r="13" spans="1:24">
      <c r="A13" s="107" t="s">
        <v>630</v>
      </c>
      <c r="B13" s="925" t="s">
        <v>59</v>
      </c>
      <c r="C13" s="925" t="s">
        <v>467</v>
      </c>
      <c r="D13" s="926" t="s">
        <v>467</v>
      </c>
      <c r="E13" s="926" t="s">
        <v>467</v>
      </c>
      <c r="F13" s="926" t="s">
        <v>467</v>
      </c>
      <c r="G13" s="926" t="s">
        <v>467</v>
      </c>
      <c r="H13" s="926"/>
      <c r="I13" s="926"/>
      <c r="J13" s="927" t="s">
        <v>467</v>
      </c>
      <c r="K13" s="928" t="s">
        <v>467</v>
      </c>
      <c r="L13" s="929" t="s">
        <v>467</v>
      </c>
      <c r="M13" s="929" t="s">
        <v>467</v>
      </c>
      <c r="N13" s="929" t="s">
        <v>467</v>
      </c>
      <c r="O13" s="929" t="s">
        <v>467</v>
      </c>
      <c r="P13" s="929" t="s">
        <v>467</v>
      </c>
    </row>
    <row r="14" spans="1:24">
      <c r="A14" s="107" t="s">
        <v>614</v>
      </c>
      <c r="B14" s="925" t="s">
        <v>481</v>
      </c>
      <c r="C14" s="925" t="s">
        <v>467</v>
      </c>
      <c r="D14" s="926" t="s">
        <v>467</v>
      </c>
      <c r="E14" s="926" t="s">
        <v>467</v>
      </c>
      <c r="F14" s="926" t="s">
        <v>467</v>
      </c>
      <c r="G14" s="926" t="s">
        <v>467</v>
      </c>
      <c r="H14" s="926"/>
      <c r="I14" s="926"/>
      <c r="J14" s="927" t="s">
        <v>467</v>
      </c>
      <c r="K14" s="928" t="s">
        <v>467</v>
      </c>
      <c r="L14" s="929" t="s">
        <v>467</v>
      </c>
      <c r="M14" s="929" t="s">
        <v>467</v>
      </c>
      <c r="N14" s="929" t="s">
        <v>467</v>
      </c>
      <c r="O14" s="929" t="s">
        <v>467</v>
      </c>
      <c r="P14" s="929" t="s">
        <v>467</v>
      </c>
    </row>
    <row r="15" spans="1:24">
      <c r="A15" s="107" t="s">
        <v>432</v>
      </c>
      <c r="B15" s="925" t="s">
        <v>436</v>
      </c>
      <c r="C15" s="925" t="s">
        <v>467</v>
      </c>
      <c r="D15" s="926" t="s">
        <v>325</v>
      </c>
      <c r="E15" s="926" t="s">
        <v>467</v>
      </c>
      <c r="F15" s="926" t="s">
        <v>467</v>
      </c>
      <c r="G15" s="926" t="s">
        <v>467</v>
      </c>
      <c r="H15" s="926"/>
      <c r="I15" s="926"/>
      <c r="J15" s="927" t="s">
        <v>467</v>
      </c>
      <c r="K15" s="928" t="s">
        <v>467</v>
      </c>
      <c r="L15" s="929" t="s">
        <v>467</v>
      </c>
      <c r="M15" s="929" t="s">
        <v>467</v>
      </c>
      <c r="N15" s="929" t="s">
        <v>467</v>
      </c>
      <c r="O15" s="929" t="s">
        <v>467</v>
      </c>
      <c r="P15" s="929" t="s">
        <v>467</v>
      </c>
    </row>
    <row r="16" spans="1:24">
      <c r="A16" s="107" t="s">
        <v>615</v>
      </c>
      <c r="B16" s="925" t="s">
        <v>373</v>
      </c>
      <c r="C16" s="925" t="s">
        <v>467</v>
      </c>
      <c r="D16" s="926" t="s">
        <v>467</v>
      </c>
      <c r="E16" s="926" t="s">
        <v>467</v>
      </c>
      <c r="F16" s="926" t="s">
        <v>467</v>
      </c>
      <c r="G16" s="926" t="s">
        <v>467</v>
      </c>
      <c r="H16" s="926"/>
      <c r="I16" s="926"/>
      <c r="J16" s="927" t="s">
        <v>467</v>
      </c>
      <c r="K16" s="928" t="s">
        <v>467</v>
      </c>
      <c r="L16" s="929" t="s">
        <v>467</v>
      </c>
      <c r="M16" s="929" t="s">
        <v>467</v>
      </c>
      <c r="N16" s="929" t="s">
        <v>467</v>
      </c>
      <c r="O16" s="929" t="s">
        <v>467</v>
      </c>
      <c r="P16" s="929" t="s">
        <v>467</v>
      </c>
    </row>
    <row r="17" spans="1:16">
      <c r="A17" s="110" t="s">
        <v>467</v>
      </c>
      <c r="B17" s="110" t="s">
        <v>467</v>
      </c>
      <c r="C17" s="110" t="s">
        <v>467</v>
      </c>
      <c r="D17" s="110" t="s">
        <v>467</v>
      </c>
      <c r="E17" s="110" t="s">
        <v>467</v>
      </c>
      <c r="F17" s="110" t="s">
        <v>467</v>
      </c>
      <c r="G17" s="110" t="s">
        <v>467</v>
      </c>
      <c r="H17" s="110" t="s">
        <v>467</v>
      </c>
      <c r="I17" s="110" t="s">
        <v>467</v>
      </c>
      <c r="J17" s="110" t="s">
        <v>467</v>
      </c>
      <c r="K17" s="110" t="s">
        <v>467</v>
      </c>
      <c r="L17" s="110" t="s">
        <v>467</v>
      </c>
      <c r="M17" s="110"/>
      <c r="N17" s="110"/>
      <c r="O17" s="110"/>
      <c r="P17" s="110"/>
    </row>
    <row r="18" spans="1:16">
      <c r="A18" s="930" t="s">
        <v>485</v>
      </c>
      <c r="B18" s="931"/>
      <c r="C18" s="931"/>
      <c r="D18" s="931"/>
      <c r="E18" s="931"/>
      <c r="F18" s="931"/>
      <c r="G18" s="931"/>
      <c r="H18" s="931"/>
      <c r="I18" s="931"/>
      <c r="J18" s="931"/>
      <c r="K18" s="932"/>
      <c r="L18" s="106"/>
      <c r="M18" s="110"/>
      <c r="N18" s="110"/>
      <c r="O18" s="110"/>
      <c r="P18" s="110"/>
    </row>
    <row r="19" spans="1:16">
      <c r="A19" s="850" t="s">
        <v>346</v>
      </c>
      <c r="B19" s="850"/>
      <c r="C19" s="850" t="s">
        <v>347</v>
      </c>
      <c r="D19" s="850"/>
      <c r="E19" s="850"/>
      <c r="F19" s="850" t="s">
        <v>631</v>
      </c>
      <c r="G19" s="850"/>
      <c r="H19" s="850"/>
      <c r="I19" s="850"/>
      <c r="J19" s="850" t="s">
        <v>632</v>
      </c>
      <c r="K19" s="850"/>
      <c r="L19" s="111"/>
      <c r="M19" s="110"/>
      <c r="N19" s="110"/>
      <c r="O19" s="110"/>
      <c r="P19" s="110"/>
    </row>
    <row r="20" spans="1:16">
      <c r="A20" s="926" t="s">
        <v>467</v>
      </c>
      <c r="B20" s="926"/>
      <c r="C20" s="926" t="s">
        <v>467</v>
      </c>
      <c r="D20" s="926"/>
      <c r="E20" s="926"/>
      <c r="F20" s="926" t="s">
        <v>467</v>
      </c>
      <c r="G20" s="926"/>
      <c r="H20" s="926"/>
      <c r="I20" s="926"/>
      <c r="J20" s="926" t="s">
        <v>467</v>
      </c>
      <c r="K20" s="926"/>
      <c r="L20" s="109"/>
      <c r="M20" s="110"/>
      <c r="N20" s="110"/>
      <c r="O20" s="110"/>
      <c r="P20" s="110"/>
    </row>
    <row r="21" spans="1:16">
      <c r="A21" s="926" t="s">
        <v>467</v>
      </c>
      <c r="B21" s="926" t="s">
        <v>467</v>
      </c>
      <c r="C21" s="926" t="s">
        <v>467</v>
      </c>
      <c r="D21" s="926" t="s">
        <v>467</v>
      </c>
      <c r="E21" s="926" t="s">
        <v>467</v>
      </c>
      <c r="F21" s="926" t="s">
        <v>467</v>
      </c>
      <c r="G21" s="926" t="s">
        <v>467</v>
      </c>
      <c r="H21" s="926" t="s">
        <v>467</v>
      </c>
      <c r="I21" s="926" t="s">
        <v>467</v>
      </c>
      <c r="J21" s="926"/>
      <c r="K21" s="926"/>
      <c r="L21" s="109"/>
      <c r="M21" s="110"/>
      <c r="N21" s="110"/>
      <c r="O21" s="110"/>
      <c r="P21" s="110"/>
    </row>
    <row r="22" spans="1:16">
      <c r="A22" s="926" t="s">
        <v>467</v>
      </c>
      <c r="B22" s="926" t="s">
        <v>467</v>
      </c>
      <c r="C22" s="926" t="s">
        <v>467</v>
      </c>
      <c r="D22" s="926" t="s">
        <v>467</v>
      </c>
      <c r="E22" s="926" t="s">
        <v>467</v>
      </c>
      <c r="F22" s="926" t="s">
        <v>467</v>
      </c>
      <c r="G22" s="926" t="s">
        <v>467</v>
      </c>
      <c r="H22" s="926" t="s">
        <v>467</v>
      </c>
      <c r="I22" s="926" t="s">
        <v>467</v>
      </c>
      <c r="J22" s="926"/>
      <c r="K22" s="926"/>
      <c r="L22" s="109"/>
      <c r="M22" s="110"/>
      <c r="N22" s="110"/>
      <c r="O22" s="110"/>
      <c r="P22" s="110"/>
    </row>
    <row r="23" spans="1:16">
      <c r="A23" s="926" t="s">
        <v>467</v>
      </c>
      <c r="B23" s="926" t="s">
        <v>467</v>
      </c>
      <c r="C23" s="926" t="s">
        <v>467</v>
      </c>
      <c r="D23" s="926" t="s">
        <v>467</v>
      </c>
      <c r="E23" s="926" t="s">
        <v>467</v>
      </c>
      <c r="F23" s="926" t="s">
        <v>467</v>
      </c>
      <c r="G23" s="926" t="s">
        <v>467</v>
      </c>
      <c r="H23" s="926" t="s">
        <v>467</v>
      </c>
      <c r="I23" s="926" t="s">
        <v>467</v>
      </c>
      <c r="J23" s="926"/>
      <c r="K23" s="926"/>
      <c r="L23" s="109"/>
      <c r="M23" s="110"/>
      <c r="N23" s="110"/>
      <c r="O23" s="110"/>
      <c r="P23" s="110"/>
    </row>
    <row r="24" spans="1:16">
      <c r="A24" s="933" t="s">
        <v>467</v>
      </c>
      <c r="B24" s="933" t="s">
        <v>467</v>
      </c>
      <c r="C24" s="933"/>
      <c r="D24" s="933"/>
      <c r="E24" s="933"/>
      <c r="F24" s="933" t="s">
        <v>467</v>
      </c>
      <c r="G24" s="933" t="s">
        <v>467</v>
      </c>
      <c r="H24" s="933" t="s">
        <v>467</v>
      </c>
      <c r="I24" s="933" t="s">
        <v>467</v>
      </c>
      <c r="J24" s="933"/>
      <c r="K24" s="933"/>
      <c r="L24" s="109"/>
      <c r="M24" s="110"/>
      <c r="N24" s="110"/>
      <c r="O24" s="110"/>
      <c r="P24" s="110"/>
    </row>
    <row r="25" spans="1:16">
      <c r="A25" s="934" t="s">
        <v>467</v>
      </c>
      <c r="B25" s="935"/>
      <c r="C25" s="935"/>
      <c r="D25" s="935"/>
      <c r="E25" s="935"/>
      <c r="F25" s="935"/>
      <c r="G25" s="935"/>
      <c r="H25" s="935"/>
      <c r="I25" s="935"/>
      <c r="J25" s="935"/>
      <c r="K25" s="935"/>
      <c r="L25" s="843"/>
      <c r="M25" s="843"/>
      <c r="N25" s="843"/>
      <c r="O25" s="843"/>
      <c r="P25" s="936"/>
    </row>
    <row r="26" spans="1:16" ht="90" customHeight="1">
      <c r="A26" s="937" t="s">
        <v>434</v>
      </c>
      <c r="B26" s="937" t="s">
        <v>467</v>
      </c>
      <c r="C26" s="938" t="s">
        <v>1091</v>
      </c>
      <c r="D26" s="939"/>
      <c r="E26" s="939"/>
      <c r="F26" s="939"/>
      <c r="G26" s="939"/>
      <c r="H26" s="939"/>
      <c r="I26" s="939"/>
      <c r="J26" s="939"/>
      <c r="K26" s="940"/>
      <c r="L26" s="109" t="s">
        <v>467</v>
      </c>
      <c r="M26" s="109" t="s">
        <v>467</v>
      </c>
      <c r="N26" s="109" t="s">
        <v>467</v>
      </c>
      <c r="O26" s="109" t="s">
        <v>467</v>
      </c>
      <c r="P26" s="109" t="s">
        <v>467</v>
      </c>
    </row>
    <row r="27" spans="1:16" ht="75.95" customHeight="1">
      <c r="A27" s="937" t="s">
        <v>490</v>
      </c>
      <c r="B27" s="937" t="s">
        <v>467</v>
      </c>
      <c r="C27" s="941" t="s">
        <v>1092</v>
      </c>
      <c r="D27" s="925"/>
      <c r="E27" s="925"/>
      <c r="F27" s="925"/>
      <c r="G27" s="925"/>
      <c r="H27" s="925"/>
      <c r="I27" s="925"/>
      <c r="J27" s="925"/>
      <c r="K27" s="942"/>
      <c r="L27" s="109" t="s">
        <v>467</v>
      </c>
      <c r="M27" s="109" t="s">
        <v>467</v>
      </c>
      <c r="N27" s="109" t="s">
        <v>467</v>
      </c>
      <c r="O27" s="109" t="s">
        <v>467</v>
      </c>
      <c r="P27" s="109" t="s">
        <v>467</v>
      </c>
    </row>
    <row r="28" spans="1:16" ht="27.95" customHeight="1">
      <c r="A28" s="937" t="s">
        <v>633</v>
      </c>
      <c r="B28" s="937" t="s">
        <v>467</v>
      </c>
      <c r="C28" s="943" t="s">
        <v>467</v>
      </c>
      <c r="D28" s="944"/>
      <c r="E28" s="944"/>
      <c r="F28" s="944"/>
      <c r="G28" s="944"/>
      <c r="H28" s="944"/>
      <c r="I28" s="944"/>
      <c r="J28" s="944"/>
      <c r="K28" s="945"/>
      <c r="L28" s="946" t="s">
        <v>467</v>
      </c>
      <c r="M28" s="946" t="s">
        <v>467</v>
      </c>
      <c r="N28" s="946" t="s">
        <v>467</v>
      </c>
      <c r="O28" s="946" t="s">
        <v>467</v>
      </c>
      <c r="P28" s="946" t="s">
        <v>467</v>
      </c>
    </row>
    <row r="29" spans="1:16" ht="30.95" customHeight="1">
      <c r="A29" s="937" t="s">
        <v>634</v>
      </c>
      <c r="B29" s="937" t="s">
        <v>467</v>
      </c>
      <c r="C29" s="943" t="s">
        <v>467</v>
      </c>
      <c r="D29" s="944" t="s">
        <v>467</v>
      </c>
      <c r="E29" s="944" t="s">
        <v>467</v>
      </c>
      <c r="F29" s="944" t="s">
        <v>467</v>
      </c>
      <c r="G29" s="944" t="s">
        <v>467</v>
      </c>
      <c r="H29" s="944" t="s">
        <v>467</v>
      </c>
      <c r="I29" s="944" t="s">
        <v>467</v>
      </c>
      <c r="J29" s="944" t="s">
        <v>467</v>
      </c>
      <c r="K29" s="945" t="s">
        <v>467</v>
      </c>
      <c r="L29" s="946" t="s">
        <v>467</v>
      </c>
      <c r="M29" s="946" t="s">
        <v>467</v>
      </c>
      <c r="N29" s="946" t="s">
        <v>467</v>
      </c>
      <c r="O29" s="946" t="s">
        <v>467</v>
      </c>
      <c r="P29" s="946" t="s">
        <v>467</v>
      </c>
    </row>
    <row r="30" spans="1:16" ht="44.1" customHeight="1">
      <c r="A30" s="937" t="s">
        <v>635</v>
      </c>
      <c r="B30" s="937" t="s">
        <v>467</v>
      </c>
      <c r="C30" s="943" t="s">
        <v>467</v>
      </c>
      <c r="D30" s="944" t="s">
        <v>467</v>
      </c>
      <c r="E30" s="944" t="s">
        <v>467</v>
      </c>
      <c r="F30" s="944" t="s">
        <v>467</v>
      </c>
      <c r="G30" s="944" t="s">
        <v>467</v>
      </c>
      <c r="H30" s="944" t="s">
        <v>467</v>
      </c>
      <c r="I30" s="944" t="s">
        <v>467</v>
      </c>
      <c r="J30" s="944" t="s">
        <v>467</v>
      </c>
      <c r="K30" s="945" t="s">
        <v>467</v>
      </c>
      <c r="L30" s="946" t="s">
        <v>467</v>
      </c>
      <c r="M30" s="946" t="s">
        <v>467</v>
      </c>
      <c r="N30" s="946" t="s">
        <v>467</v>
      </c>
      <c r="O30" s="946" t="s">
        <v>467</v>
      </c>
      <c r="P30" s="946" t="s">
        <v>467</v>
      </c>
    </row>
    <row r="31" spans="1:16" ht="32.1" customHeight="1">
      <c r="A31" s="937" t="s">
        <v>636</v>
      </c>
      <c r="B31" s="937" t="s">
        <v>467</v>
      </c>
      <c r="C31" s="812" t="s">
        <v>1083</v>
      </c>
      <c r="D31" s="812" t="s">
        <v>467</v>
      </c>
      <c r="E31" s="812" t="s">
        <v>467</v>
      </c>
      <c r="F31" s="812" t="s">
        <v>467</v>
      </c>
      <c r="G31" s="812" t="s">
        <v>467</v>
      </c>
      <c r="H31" s="812" t="s">
        <v>467</v>
      </c>
      <c r="I31" s="812" t="s">
        <v>467</v>
      </c>
      <c r="J31" s="812" t="s">
        <v>467</v>
      </c>
      <c r="K31" s="812" t="s">
        <v>467</v>
      </c>
      <c r="L31" s="946" t="s">
        <v>467</v>
      </c>
      <c r="M31" s="946" t="s">
        <v>467</v>
      </c>
      <c r="N31" s="946" t="s">
        <v>467</v>
      </c>
      <c r="O31" s="946" t="s">
        <v>467</v>
      </c>
      <c r="P31" s="946" t="s">
        <v>467</v>
      </c>
    </row>
    <row r="32" spans="1:16">
      <c r="A32" s="110" t="s">
        <v>467</v>
      </c>
      <c r="B32" s="110" t="s">
        <v>467</v>
      </c>
      <c r="C32" s="110" t="s">
        <v>467</v>
      </c>
      <c r="D32" s="110" t="s">
        <v>467</v>
      </c>
      <c r="E32" s="110" t="s">
        <v>467</v>
      </c>
      <c r="F32" s="110" t="s">
        <v>467</v>
      </c>
      <c r="G32" s="110" t="s">
        <v>467</v>
      </c>
      <c r="H32" s="110" t="s">
        <v>467</v>
      </c>
      <c r="I32" s="110" t="s">
        <v>467</v>
      </c>
      <c r="J32" s="110"/>
      <c r="K32" s="110"/>
      <c r="L32" s="110"/>
      <c r="M32" s="110"/>
      <c r="N32" s="110"/>
      <c r="O32" s="110"/>
      <c r="P32" s="110"/>
    </row>
    <row r="33" spans="1:16">
      <c r="A33" s="947" t="s">
        <v>637</v>
      </c>
      <c r="B33" s="947"/>
      <c r="C33" s="947"/>
      <c r="D33" s="947"/>
      <c r="E33" s="947"/>
      <c r="F33" s="947"/>
      <c r="G33" s="947"/>
      <c r="H33" s="947"/>
      <c r="I33" s="948"/>
      <c r="J33" s="110"/>
      <c r="K33" s="110"/>
      <c r="L33" s="110"/>
      <c r="M33" s="110"/>
      <c r="N33" s="110"/>
      <c r="O33" s="110"/>
      <c r="P33" s="110"/>
    </row>
    <row r="34" spans="1:16">
      <c r="A34" s="944" t="s">
        <v>638</v>
      </c>
      <c r="B34" s="944"/>
      <c r="C34" s="944"/>
      <c r="D34" s="944"/>
      <c r="E34" s="944"/>
      <c r="F34" s="944"/>
      <c r="G34" s="944"/>
      <c r="H34" s="926" t="s">
        <v>24</v>
      </c>
      <c r="I34" s="949"/>
      <c r="J34" s="110"/>
      <c r="K34" s="110"/>
      <c r="L34" s="110"/>
      <c r="M34" s="110"/>
      <c r="N34" s="110"/>
      <c r="O34" s="110"/>
      <c r="P34" s="110"/>
    </row>
    <row r="35" spans="1:16">
      <c r="A35" s="944" t="s">
        <v>639</v>
      </c>
      <c r="B35" s="944"/>
      <c r="C35" s="944"/>
      <c r="D35" s="944"/>
      <c r="E35" s="944"/>
      <c r="F35" s="944"/>
      <c r="G35" s="944"/>
      <c r="H35" s="926" t="s">
        <v>24</v>
      </c>
      <c r="I35" s="949"/>
      <c r="J35" s="110"/>
      <c r="K35" s="110"/>
      <c r="L35" s="110"/>
      <c r="M35" s="110"/>
      <c r="N35" s="110"/>
      <c r="O35" s="110"/>
      <c r="P35" s="110"/>
    </row>
    <row r="36" spans="1:16">
      <c r="A36" s="944" t="s">
        <v>640</v>
      </c>
      <c r="B36" s="944"/>
      <c r="C36" s="944"/>
      <c r="D36" s="944"/>
      <c r="E36" s="944"/>
      <c r="F36" s="944"/>
      <c r="G36" s="944"/>
      <c r="H36" s="926" t="s">
        <v>24</v>
      </c>
      <c r="I36" s="949"/>
      <c r="J36" s="110"/>
      <c r="K36" s="110"/>
      <c r="L36" s="110"/>
      <c r="M36" s="110"/>
      <c r="N36" s="110"/>
      <c r="O36" s="110"/>
      <c r="P36" s="110"/>
    </row>
    <row r="37" spans="1:16">
      <c r="A37" s="944" t="s">
        <v>641</v>
      </c>
      <c r="B37" s="944"/>
      <c r="C37" s="944"/>
      <c r="D37" s="944"/>
      <c r="E37" s="944"/>
      <c r="F37" s="944"/>
      <c r="G37" s="944"/>
      <c r="H37" s="926" t="s">
        <v>24</v>
      </c>
      <c r="I37" s="949"/>
      <c r="J37" s="110"/>
      <c r="K37" s="110"/>
      <c r="L37" s="110"/>
      <c r="M37" s="110"/>
      <c r="N37" s="110"/>
      <c r="O37" s="110"/>
      <c r="P37" s="110"/>
    </row>
    <row r="38" spans="1:16">
      <c r="A38" s="944" t="s">
        <v>642</v>
      </c>
      <c r="B38" s="944"/>
      <c r="C38" s="944"/>
      <c r="D38" s="944"/>
      <c r="E38" s="944"/>
      <c r="F38" s="944"/>
      <c r="G38" s="944"/>
      <c r="H38" s="926" t="s">
        <v>24</v>
      </c>
      <c r="I38" s="949"/>
      <c r="J38" s="110"/>
      <c r="K38" s="110"/>
      <c r="L38" s="110"/>
      <c r="M38" s="110"/>
      <c r="N38" s="110"/>
      <c r="O38" s="110"/>
      <c r="P38" s="110"/>
    </row>
    <row r="39" spans="1:16">
      <c r="A39" s="944" t="s">
        <v>643</v>
      </c>
      <c r="B39" s="944"/>
      <c r="C39" s="944"/>
      <c r="D39" s="944"/>
      <c r="E39" s="944"/>
      <c r="F39" s="944"/>
      <c r="G39" s="944"/>
      <c r="H39" s="926" t="s">
        <v>24</v>
      </c>
      <c r="I39" s="949"/>
      <c r="J39" s="110"/>
      <c r="K39" s="110"/>
      <c r="L39" s="110"/>
      <c r="M39" s="110"/>
      <c r="N39" s="110"/>
      <c r="O39" s="110"/>
      <c r="P39" s="110"/>
    </row>
    <row r="40" spans="1:16">
      <c r="A40" s="110" t="s">
        <v>467</v>
      </c>
      <c r="B40" s="110" t="s">
        <v>467</v>
      </c>
      <c r="C40" s="110" t="s">
        <v>467</v>
      </c>
      <c r="D40" s="110" t="s">
        <v>467</v>
      </c>
      <c r="E40" s="110" t="s">
        <v>467</v>
      </c>
      <c r="F40" s="110" t="s">
        <v>467</v>
      </c>
      <c r="G40" s="110" t="s">
        <v>467</v>
      </c>
      <c r="H40" s="110" t="s">
        <v>467</v>
      </c>
      <c r="I40" s="110" t="s">
        <v>467</v>
      </c>
      <c r="J40" s="110"/>
      <c r="K40" s="110"/>
      <c r="L40" s="110"/>
      <c r="M40" s="110"/>
      <c r="N40" s="110"/>
      <c r="O40" s="110"/>
      <c r="P40" s="110"/>
    </row>
    <row r="41" spans="1:16">
      <c r="A41" s="923" t="s">
        <v>644</v>
      </c>
      <c r="B41" s="923"/>
      <c r="C41" s="923"/>
      <c r="D41" s="923"/>
      <c r="E41" s="923"/>
      <c r="F41" s="923"/>
      <c r="G41" s="923"/>
      <c r="H41" s="923"/>
      <c r="I41" s="923"/>
      <c r="J41" s="923"/>
      <c r="K41" s="924"/>
      <c r="L41" s="106" t="s">
        <v>467</v>
      </c>
      <c r="M41" s="106" t="s">
        <v>467</v>
      </c>
      <c r="N41" s="106" t="s">
        <v>467</v>
      </c>
      <c r="O41" s="106" t="s">
        <v>467</v>
      </c>
      <c r="P41" s="106" t="s">
        <v>467</v>
      </c>
    </row>
    <row r="42" spans="1:16">
      <c r="A42" s="925" t="s">
        <v>501</v>
      </c>
      <c r="B42" s="925" t="s">
        <v>467</v>
      </c>
      <c r="C42" s="925" t="s">
        <v>467</v>
      </c>
      <c r="D42" s="925" t="s">
        <v>467</v>
      </c>
      <c r="E42" s="950">
        <f>COUNTIF($E$52:$E$59,"Minor")</f>
        <v>0</v>
      </c>
      <c r="F42" s="950"/>
      <c r="G42" s="950"/>
      <c r="H42" s="950"/>
      <c r="I42" s="950"/>
      <c r="J42" s="950"/>
      <c r="K42" s="951"/>
      <c r="L42" s="113" t="s">
        <v>467</v>
      </c>
      <c r="M42" s="113" t="s">
        <v>467</v>
      </c>
      <c r="N42" s="113" t="s">
        <v>467</v>
      </c>
      <c r="O42" s="113" t="s">
        <v>467</v>
      </c>
      <c r="P42" s="113" t="s">
        <v>467</v>
      </c>
    </row>
    <row r="43" spans="1:16">
      <c r="A43" s="925" t="s">
        <v>502</v>
      </c>
      <c r="B43" s="925" t="s">
        <v>467</v>
      </c>
      <c r="C43" s="925" t="s">
        <v>467</v>
      </c>
      <c r="D43" s="925" t="s">
        <v>467</v>
      </c>
      <c r="E43" s="950">
        <f>COUNTIF($E$52:$E$59,"Minor")</f>
        <v>0</v>
      </c>
      <c r="F43" s="950"/>
      <c r="G43" s="950"/>
      <c r="H43" s="950"/>
      <c r="I43" s="950"/>
      <c r="J43" s="950"/>
      <c r="K43" s="951"/>
      <c r="L43" s="113"/>
      <c r="M43" s="113"/>
      <c r="N43" s="113"/>
      <c r="O43" s="113"/>
      <c r="P43" s="113"/>
    </row>
    <row r="44" spans="1:16">
      <c r="A44" s="925" t="s">
        <v>503</v>
      </c>
      <c r="B44" s="925" t="s">
        <v>467</v>
      </c>
      <c r="C44" s="925" t="s">
        <v>467</v>
      </c>
      <c r="D44" s="925" t="s">
        <v>467</v>
      </c>
      <c r="E44" s="950">
        <f>COUNTIF($E$52:$E$59,"Minor")</f>
        <v>0</v>
      </c>
      <c r="F44" s="950"/>
      <c r="G44" s="950"/>
      <c r="H44" s="950"/>
      <c r="I44" s="950"/>
      <c r="J44" s="950"/>
      <c r="K44" s="951"/>
      <c r="L44" s="113"/>
      <c r="M44" s="113"/>
      <c r="N44" s="113"/>
      <c r="O44" s="113"/>
      <c r="P44" s="113"/>
    </row>
    <row r="45" spans="1:16">
      <c r="A45" s="925" t="s">
        <v>504</v>
      </c>
      <c r="B45" s="925" t="s">
        <v>467</v>
      </c>
      <c r="C45" s="925" t="s">
        <v>467</v>
      </c>
      <c r="D45" s="925" t="s">
        <v>467</v>
      </c>
      <c r="E45" s="950">
        <f>COUNTIF($E$52:$E$59,"Minor")</f>
        <v>0</v>
      </c>
      <c r="F45" s="950"/>
      <c r="G45" s="950"/>
      <c r="H45" s="950"/>
      <c r="I45" s="950"/>
      <c r="J45" s="950"/>
      <c r="K45" s="951"/>
      <c r="L45" s="113"/>
      <c r="M45" s="113"/>
      <c r="N45" s="113"/>
      <c r="O45" s="113"/>
      <c r="P45" s="113"/>
    </row>
    <row r="46" spans="1:16">
      <c r="A46" s="952" t="s">
        <v>467</v>
      </c>
      <c r="B46" s="953"/>
      <c r="C46" s="953"/>
      <c r="D46" s="953"/>
      <c r="E46" s="953"/>
      <c r="F46" s="953"/>
      <c r="G46" s="953"/>
      <c r="H46" s="953"/>
      <c r="I46" s="953"/>
      <c r="J46" s="953"/>
      <c r="K46" s="954"/>
      <c r="L46" s="113"/>
      <c r="M46" s="113"/>
      <c r="N46" s="113"/>
      <c r="O46" s="113"/>
      <c r="P46" s="113"/>
    </row>
    <row r="47" spans="1:16">
      <c r="A47" s="947" t="s">
        <v>645</v>
      </c>
      <c r="B47" s="947"/>
      <c r="C47" s="947"/>
      <c r="D47" s="947"/>
      <c r="E47" s="947"/>
      <c r="F47" s="947"/>
      <c r="G47" s="947"/>
      <c r="H47" s="947"/>
      <c r="I47" s="947"/>
      <c r="J47" s="947"/>
      <c r="K47" s="947"/>
      <c r="L47" s="106"/>
      <c r="M47" s="106"/>
      <c r="N47" s="106"/>
      <c r="O47" s="110"/>
      <c r="P47" s="110"/>
    </row>
    <row r="48" spans="1:16" ht="30" customHeight="1">
      <c r="A48" s="925" t="s">
        <v>646</v>
      </c>
      <c r="B48" s="925" t="s">
        <v>467</v>
      </c>
      <c r="C48" s="925" t="s">
        <v>467</v>
      </c>
      <c r="D48" s="112" t="s">
        <v>467</v>
      </c>
      <c r="E48" s="944" t="s">
        <v>1088</v>
      </c>
      <c r="F48" s="944"/>
      <c r="G48" s="944"/>
      <c r="H48" s="944"/>
      <c r="I48" s="944"/>
      <c r="J48" s="944"/>
      <c r="K48" s="944"/>
      <c r="L48" s="109"/>
      <c r="M48" s="109"/>
      <c r="N48" s="109"/>
      <c r="O48" s="110"/>
      <c r="P48" s="110"/>
    </row>
    <row r="49" spans="1:16" ht="30" customHeight="1">
      <c r="A49" s="925" t="s">
        <v>647</v>
      </c>
      <c r="B49" s="925" t="s">
        <v>467</v>
      </c>
      <c r="C49" s="925" t="s">
        <v>467</v>
      </c>
      <c r="D49" s="112" t="s">
        <v>467</v>
      </c>
      <c r="E49" s="944" t="s">
        <v>1089</v>
      </c>
      <c r="F49" s="944" t="s">
        <v>467</v>
      </c>
      <c r="G49" s="944" t="s">
        <v>467</v>
      </c>
      <c r="H49" s="944" t="s">
        <v>467</v>
      </c>
      <c r="I49" s="944" t="s">
        <v>467</v>
      </c>
      <c r="J49" s="944" t="s">
        <v>467</v>
      </c>
      <c r="K49" s="944" t="s">
        <v>467</v>
      </c>
      <c r="L49" s="946" t="s">
        <v>467</v>
      </c>
      <c r="M49" s="946" t="s">
        <v>467</v>
      </c>
      <c r="N49" s="946" t="s">
        <v>467</v>
      </c>
      <c r="O49" s="110"/>
      <c r="P49" s="110"/>
    </row>
    <row r="50" spans="1:16" ht="30.95" customHeight="1">
      <c r="A50" s="925" t="s">
        <v>648</v>
      </c>
      <c r="B50" s="925" t="s">
        <v>467</v>
      </c>
      <c r="C50" s="925" t="s">
        <v>467</v>
      </c>
      <c r="D50" s="112" t="s">
        <v>467</v>
      </c>
      <c r="E50" s="944" t="s">
        <v>649</v>
      </c>
      <c r="F50" s="944" t="s">
        <v>467</v>
      </c>
      <c r="G50" s="944" t="s">
        <v>467</v>
      </c>
      <c r="H50" s="944" t="s">
        <v>467</v>
      </c>
      <c r="I50" s="944" t="s">
        <v>467</v>
      </c>
      <c r="J50" s="944" t="s">
        <v>467</v>
      </c>
      <c r="K50" s="944" t="s">
        <v>467</v>
      </c>
      <c r="L50" s="946" t="s">
        <v>467</v>
      </c>
      <c r="M50" s="946" t="s">
        <v>467</v>
      </c>
      <c r="N50" s="946" t="s">
        <v>467</v>
      </c>
      <c r="O50" s="110"/>
      <c r="P50" s="110"/>
    </row>
    <row r="51" spans="1:16" ht="30.95" customHeight="1">
      <c r="A51" s="925" t="s">
        <v>650</v>
      </c>
      <c r="B51" s="925" t="s">
        <v>467</v>
      </c>
      <c r="C51" s="925" t="s">
        <v>467</v>
      </c>
      <c r="D51" s="112" t="s">
        <v>467</v>
      </c>
      <c r="E51" s="944" t="s">
        <v>651</v>
      </c>
      <c r="F51" s="944" t="s">
        <v>467</v>
      </c>
      <c r="G51" s="944" t="s">
        <v>467</v>
      </c>
      <c r="H51" s="944" t="s">
        <v>467</v>
      </c>
      <c r="I51" s="944" t="s">
        <v>467</v>
      </c>
      <c r="J51" s="944" t="s">
        <v>467</v>
      </c>
      <c r="K51" s="944" t="s">
        <v>467</v>
      </c>
      <c r="L51" s="946" t="s">
        <v>467</v>
      </c>
      <c r="M51" s="946" t="s">
        <v>467</v>
      </c>
      <c r="N51" s="946" t="s">
        <v>467</v>
      </c>
      <c r="O51" s="110"/>
      <c r="P51" s="110"/>
    </row>
    <row r="52" spans="1:16" ht="30.75" customHeight="1">
      <c r="A52" s="925" t="s">
        <v>652</v>
      </c>
      <c r="B52" s="925" t="s">
        <v>467</v>
      </c>
      <c r="C52" s="925" t="s">
        <v>467</v>
      </c>
      <c r="D52" s="107" t="s">
        <v>467</v>
      </c>
      <c r="E52" s="944" t="s">
        <v>653</v>
      </c>
      <c r="F52" s="944" t="s">
        <v>467</v>
      </c>
      <c r="G52" s="944" t="s">
        <v>467</v>
      </c>
      <c r="H52" s="944" t="s">
        <v>467</v>
      </c>
      <c r="I52" s="944" t="s">
        <v>467</v>
      </c>
      <c r="J52" s="944" t="s">
        <v>467</v>
      </c>
      <c r="K52" s="944" t="s">
        <v>467</v>
      </c>
      <c r="L52" s="946" t="s">
        <v>467</v>
      </c>
      <c r="M52" s="946" t="s">
        <v>467</v>
      </c>
      <c r="N52" s="946" t="s">
        <v>467</v>
      </c>
      <c r="O52" s="110"/>
      <c r="P52" s="110"/>
    </row>
    <row r="53" spans="1:16">
      <c r="A53" s="110" t="s">
        <v>467</v>
      </c>
      <c r="B53" s="110" t="s">
        <v>467</v>
      </c>
      <c r="C53" s="110" t="s">
        <v>467</v>
      </c>
      <c r="D53" s="110" t="s">
        <v>467</v>
      </c>
      <c r="E53" s="110" t="s">
        <v>467</v>
      </c>
      <c r="F53" s="110" t="s">
        <v>467</v>
      </c>
      <c r="G53" s="110" t="s">
        <v>467</v>
      </c>
      <c r="H53" s="110" t="s">
        <v>467</v>
      </c>
      <c r="I53" s="110" t="s">
        <v>467</v>
      </c>
      <c r="J53" s="110" t="s">
        <v>467</v>
      </c>
      <c r="K53" s="110" t="s">
        <v>467</v>
      </c>
      <c r="L53" s="110"/>
      <c r="M53" s="110"/>
      <c r="N53" s="110"/>
      <c r="O53" s="110"/>
      <c r="P53" s="110"/>
    </row>
    <row r="54" spans="1:16">
      <c r="A54" s="955" t="s">
        <v>512</v>
      </c>
      <c r="B54" s="955"/>
      <c r="C54" s="955"/>
      <c r="D54" s="955"/>
      <c r="E54" s="955"/>
      <c r="F54" s="955"/>
      <c r="G54" s="955"/>
      <c r="H54" s="955"/>
      <c r="I54" s="955"/>
      <c r="J54" s="955"/>
      <c r="K54" s="955"/>
      <c r="L54" s="110"/>
      <c r="M54" s="110"/>
      <c r="N54" s="110"/>
      <c r="O54" s="110"/>
      <c r="P54" s="110"/>
    </row>
    <row r="55" spans="1:16">
      <c r="A55" s="90" t="s">
        <v>457</v>
      </c>
      <c r="B55" s="850" t="s">
        <v>513</v>
      </c>
      <c r="C55" s="850"/>
      <c r="D55" s="850" t="s">
        <v>514</v>
      </c>
      <c r="E55" s="850"/>
      <c r="F55" s="850" t="s">
        <v>515</v>
      </c>
      <c r="G55" s="850"/>
      <c r="H55" s="956" t="s">
        <v>516</v>
      </c>
      <c r="I55" s="957"/>
      <c r="J55" s="957"/>
      <c r="K55" s="958"/>
      <c r="L55" s="110"/>
      <c r="M55" s="110"/>
      <c r="N55" s="110"/>
      <c r="O55" s="110"/>
      <c r="P55" s="110"/>
    </row>
    <row r="56" spans="1:16">
      <c r="A56" s="108">
        <v>1</v>
      </c>
      <c r="B56" s="926" t="s">
        <v>467</v>
      </c>
      <c r="C56" s="926"/>
      <c r="D56" s="926" t="s">
        <v>467</v>
      </c>
      <c r="E56" s="926"/>
      <c r="F56" s="926" t="s">
        <v>467</v>
      </c>
      <c r="G56" s="926"/>
      <c r="H56" s="959" t="s">
        <v>467</v>
      </c>
      <c r="I56" s="960"/>
      <c r="J56" s="960"/>
      <c r="K56" s="961"/>
      <c r="L56" s="110"/>
      <c r="M56" s="110"/>
      <c r="N56" s="110"/>
      <c r="O56" s="110"/>
      <c r="P56" s="110"/>
    </row>
    <row r="57" spans="1:16">
      <c r="A57" s="108">
        <v>2</v>
      </c>
      <c r="B57" s="926"/>
      <c r="C57" s="926"/>
      <c r="D57" s="926"/>
      <c r="E57" s="926"/>
      <c r="F57" s="926"/>
      <c r="G57" s="926"/>
      <c r="H57" s="959"/>
      <c r="I57" s="960"/>
      <c r="J57" s="960"/>
      <c r="K57" s="961"/>
      <c r="L57" s="110"/>
      <c r="M57" s="110"/>
      <c r="N57" s="110"/>
      <c r="O57" s="110"/>
      <c r="P57" s="110"/>
    </row>
    <row r="58" spans="1:16">
      <c r="A58" s="108">
        <v>3</v>
      </c>
      <c r="B58" s="926"/>
      <c r="C58" s="926"/>
      <c r="D58" s="926"/>
      <c r="E58" s="926"/>
      <c r="F58" s="926"/>
      <c r="G58" s="926"/>
      <c r="H58" s="959"/>
      <c r="I58" s="960"/>
      <c r="J58" s="960"/>
      <c r="K58" s="961"/>
      <c r="L58" s="110"/>
      <c r="M58" s="110"/>
      <c r="N58" s="110"/>
      <c r="O58" s="110"/>
      <c r="P58" s="110"/>
    </row>
    <row r="59" spans="1:16">
      <c r="A59" s="108">
        <v>4</v>
      </c>
      <c r="B59" s="926"/>
      <c r="C59" s="926"/>
      <c r="D59" s="926"/>
      <c r="E59" s="926"/>
      <c r="F59" s="926"/>
      <c r="G59" s="926"/>
      <c r="H59" s="959"/>
      <c r="I59" s="960"/>
      <c r="J59" s="960"/>
      <c r="K59" s="961"/>
      <c r="L59" s="110"/>
      <c r="M59" s="110"/>
      <c r="N59" s="110"/>
      <c r="O59" s="110"/>
      <c r="P59" s="110"/>
    </row>
    <row r="60" spans="1:16">
      <c r="A60" s="108">
        <v>5</v>
      </c>
      <c r="B60" s="926"/>
      <c r="C60" s="926"/>
      <c r="D60" s="926"/>
      <c r="E60" s="926"/>
      <c r="F60" s="926"/>
      <c r="G60" s="926"/>
      <c r="H60" s="959"/>
      <c r="I60" s="960"/>
      <c r="J60" s="960"/>
      <c r="K60" s="961"/>
      <c r="L60" s="110"/>
      <c r="M60" s="110"/>
      <c r="N60" s="110"/>
      <c r="O60" s="110"/>
      <c r="P60" s="110"/>
    </row>
    <row r="61" spans="1:16">
      <c r="A61" s="108">
        <v>6</v>
      </c>
      <c r="B61" s="926"/>
      <c r="C61" s="926"/>
      <c r="D61" s="926"/>
      <c r="E61" s="926"/>
      <c r="F61" s="926"/>
      <c r="G61" s="926"/>
      <c r="H61" s="959"/>
      <c r="I61" s="960"/>
      <c r="J61" s="960"/>
      <c r="K61" s="961"/>
      <c r="L61" s="110"/>
      <c r="M61" s="110"/>
      <c r="N61" s="110"/>
      <c r="O61" s="110"/>
      <c r="P61" s="110"/>
    </row>
    <row r="62" spans="1:16">
      <c r="A62" s="108">
        <v>7</v>
      </c>
      <c r="B62" s="926"/>
      <c r="C62" s="926"/>
      <c r="D62" s="926"/>
      <c r="E62" s="926"/>
      <c r="F62" s="926"/>
      <c r="G62" s="926"/>
      <c r="H62" s="959"/>
      <c r="I62" s="960"/>
      <c r="J62" s="960"/>
      <c r="K62" s="961"/>
      <c r="L62" s="110"/>
      <c r="M62" s="110"/>
      <c r="N62" s="110"/>
      <c r="O62" s="110"/>
      <c r="P62" s="110"/>
    </row>
    <row r="63" spans="1:16">
      <c r="A63" s="962" t="s">
        <v>654</v>
      </c>
      <c r="B63" s="963"/>
      <c r="C63" s="963"/>
      <c r="D63" s="963"/>
      <c r="E63" s="963"/>
      <c r="F63" s="963"/>
      <c r="G63" s="964"/>
      <c r="H63" s="114"/>
      <c r="I63" s="115"/>
      <c r="J63" s="115"/>
      <c r="K63" s="116"/>
      <c r="L63" s="110"/>
      <c r="M63" s="110"/>
      <c r="N63" s="110"/>
      <c r="O63" s="110"/>
      <c r="P63" s="110"/>
    </row>
    <row r="64" spans="1:16">
      <c r="A64" s="110" t="s">
        <v>467</v>
      </c>
      <c r="B64" s="110" t="s">
        <v>467</v>
      </c>
      <c r="C64" s="110" t="s">
        <v>467</v>
      </c>
      <c r="D64" s="110" t="s">
        <v>467</v>
      </c>
      <c r="E64" s="110" t="s">
        <v>467</v>
      </c>
      <c r="F64" s="110" t="s">
        <v>467</v>
      </c>
      <c r="G64" s="110" t="s">
        <v>467</v>
      </c>
      <c r="H64" s="110" t="s">
        <v>467</v>
      </c>
      <c r="I64" s="110" t="s">
        <v>467</v>
      </c>
      <c r="J64" s="110" t="s">
        <v>467</v>
      </c>
      <c r="K64" s="110" t="s">
        <v>467</v>
      </c>
      <c r="L64" s="110"/>
      <c r="M64" s="110"/>
      <c r="N64" s="110"/>
      <c r="O64" s="110"/>
      <c r="P64" s="110"/>
    </row>
    <row r="65" spans="1:16">
      <c r="A65" s="923" t="s">
        <v>655</v>
      </c>
      <c r="B65" s="923"/>
      <c r="C65" s="923"/>
      <c r="D65" s="923"/>
      <c r="E65" s="923"/>
      <c r="F65" s="923"/>
      <c r="G65" s="923"/>
      <c r="H65" s="923"/>
      <c r="I65" s="923"/>
      <c r="J65" s="923"/>
      <c r="K65" s="924"/>
      <c r="L65" s="110"/>
      <c r="M65" s="110"/>
      <c r="N65" s="110"/>
      <c r="O65" s="110"/>
      <c r="P65" s="110"/>
    </row>
    <row r="66" spans="1:16" ht="30">
      <c r="A66" s="90" t="s">
        <v>457</v>
      </c>
      <c r="B66" s="850" t="s">
        <v>522</v>
      </c>
      <c r="C66" s="850"/>
      <c r="D66" s="850"/>
      <c r="E66" s="850"/>
      <c r="F66" s="850"/>
      <c r="G66" s="850"/>
      <c r="H66" s="850"/>
      <c r="I66" s="90" t="s">
        <v>513</v>
      </c>
      <c r="J66" s="850" t="s">
        <v>656</v>
      </c>
      <c r="K66" s="965"/>
      <c r="L66" s="110"/>
      <c r="M66" s="110"/>
      <c r="N66" s="110"/>
      <c r="O66" s="110"/>
      <c r="P66" s="110"/>
    </row>
    <row r="67" spans="1:16">
      <c r="A67" s="108">
        <v>1</v>
      </c>
      <c r="B67" s="959" t="s">
        <v>467</v>
      </c>
      <c r="C67" s="960"/>
      <c r="D67" s="960"/>
      <c r="E67" s="960"/>
      <c r="F67" s="960"/>
      <c r="G67" s="960"/>
      <c r="H67" s="961"/>
      <c r="I67" s="108"/>
      <c r="J67" s="959"/>
      <c r="K67" s="961"/>
      <c r="L67" s="110"/>
      <c r="M67" s="110"/>
      <c r="N67" s="110"/>
      <c r="O67" s="110"/>
      <c r="P67" s="110"/>
    </row>
    <row r="68" spans="1:16">
      <c r="A68" s="108">
        <v>2</v>
      </c>
      <c r="B68" s="959"/>
      <c r="C68" s="960"/>
      <c r="D68" s="960"/>
      <c r="E68" s="960"/>
      <c r="F68" s="960"/>
      <c r="G68" s="960"/>
      <c r="H68" s="961"/>
      <c r="I68" s="108"/>
      <c r="J68" s="959"/>
      <c r="K68" s="961"/>
      <c r="L68" s="110"/>
      <c r="M68" s="110"/>
      <c r="N68" s="110"/>
      <c r="O68" s="110"/>
      <c r="P68" s="110"/>
    </row>
    <row r="69" spans="1:16">
      <c r="A69" s="108">
        <v>3</v>
      </c>
      <c r="B69" s="959"/>
      <c r="C69" s="960"/>
      <c r="D69" s="960"/>
      <c r="E69" s="960"/>
      <c r="F69" s="960"/>
      <c r="G69" s="960"/>
      <c r="H69" s="961"/>
      <c r="I69" s="108"/>
      <c r="J69" s="959"/>
      <c r="K69" s="961"/>
      <c r="L69" s="110"/>
      <c r="M69" s="110"/>
      <c r="N69" s="110"/>
      <c r="O69" s="110"/>
      <c r="P69" s="110"/>
    </row>
    <row r="70" spans="1:16">
      <c r="A70" s="108">
        <v>4</v>
      </c>
      <c r="B70" s="959"/>
      <c r="C70" s="960"/>
      <c r="D70" s="960"/>
      <c r="E70" s="960"/>
      <c r="F70" s="960"/>
      <c r="G70" s="960"/>
      <c r="H70" s="961"/>
      <c r="I70" s="108"/>
      <c r="J70" s="959"/>
      <c r="K70" s="961"/>
      <c r="L70" s="110"/>
      <c r="M70" s="110"/>
      <c r="N70" s="110"/>
      <c r="O70" s="110"/>
      <c r="P70" s="110"/>
    </row>
    <row r="71" spans="1:16">
      <c r="A71" s="108">
        <v>5</v>
      </c>
      <c r="B71" s="959"/>
      <c r="C71" s="960"/>
      <c r="D71" s="960"/>
      <c r="E71" s="960"/>
      <c r="F71" s="960"/>
      <c r="G71" s="960"/>
      <c r="H71" s="961"/>
      <c r="I71" s="108"/>
      <c r="J71" s="959"/>
      <c r="K71" s="961"/>
      <c r="L71" s="110"/>
      <c r="M71" s="110"/>
      <c r="N71" s="110"/>
      <c r="O71" s="110"/>
      <c r="P71" s="110"/>
    </row>
    <row r="72" spans="1:16">
      <c r="A72" s="108">
        <v>6</v>
      </c>
      <c r="B72" s="959"/>
      <c r="C72" s="960"/>
      <c r="D72" s="960"/>
      <c r="E72" s="960"/>
      <c r="F72" s="960"/>
      <c r="G72" s="960"/>
      <c r="H72" s="961"/>
      <c r="I72" s="108"/>
      <c r="J72" s="959"/>
      <c r="K72" s="961"/>
      <c r="L72" s="110"/>
      <c r="M72" s="110"/>
      <c r="N72" s="110"/>
      <c r="O72" s="110"/>
      <c r="P72" s="110"/>
    </row>
    <row r="73" spans="1:16">
      <c r="A73" s="110" t="s">
        <v>467</v>
      </c>
      <c r="B73" s="110" t="s">
        <v>467</v>
      </c>
      <c r="C73" s="110" t="s">
        <v>467</v>
      </c>
      <c r="D73" s="110" t="s">
        <v>467</v>
      </c>
      <c r="E73" s="110" t="s">
        <v>467</v>
      </c>
      <c r="F73" s="110" t="s">
        <v>467</v>
      </c>
      <c r="G73" s="110" t="s">
        <v>467</v>
      </c>
      <c r="H73" s="110" t="s">
        <v>467</v>
      </c>
      <c r="I73" s="110" t="s">
        <v>467</v>
      </c>
      <c r="J73" s="110"/>
      <c r="K73" s="110"/>
      <c r="L73" s="110"/>
      <c r="M73" s="110"/>
      <c r="N73" s="110"/>
      <c r="O73" s="110"/>
      <c r="P73" s="110"/>
    </row>
    <row r="74" spans="1:16">
      <c r="A74" s="955" t="s">
        <v>657</v>
      </c>
      <c r="B74" s="955"/>
      <c r="C74" s="955"/>
      <c r="D74" s="955"/>
      <c r="E74" s="955"/>
      <c r="F74" s="955"/>
      <c r="G74" s="955"/>
      <c r="H74" s="955"/>
      <c r="I74" s="966"/>
      <c r="J74" s="110"/>
      <c r="K74" s="110"/>
      <c r="L74" s="110"/>
      <c r="M74" s="110"/>
      <c r="N74" s="110"/>
      <c r="O74" s="110"/>
      <c r="P74" s="110"/>
    </row>
    <row r="75" spans="1:16" ht="41.1" customHeight="1">
      <c r="A75" s="925" t="s">
        <v>658</v>
      </c>
      <c r="B75" s="925" t="s">
        <v>467</v>
      </c>
      <c r="C75" s="925" t="s">
        <v>467</v>
      </c>
      <c r="D75" s="925" t="s">
        <v>467</v>
      </c>
      <c r="E75" s="925" t="s">
        <v>467</v>
      </c>
      <c r="F75" s="925" t="s">
        <v>467</v>
      </c>
      <c r="G75" s="925" t="s">
        <v>467</v>
      </c>
      <c r="H75" s="925" t="s">
        <v>659</v>
      </c>
      <c r="I75" s="942"/>
      <c r="J75" s="110"/>
      <c r="K75" s="110"/>
      <c r="L75" s="110"/>
      <c r="M75" s="110"/>
      <c r="N75" s="110"/>
      <c r="O75" s="110"/>
      <c r="P75" s="110"/>
    </row>
    <row r="76" spans="1:16" ht="33.950000000000003" customHeight="1">
      <c r="A76" s="925" t="s">
        <v>660</v>
      </c>
      <c r="B76" s="925" t="s">
        <v>467</v>
      </c>
      <c r="C76" s="925" t="s">
        <v>467</v>
      </c>
      <c r="D76" s="925" t="s">
        <v>467</v>
      </c>
      <c r="E76" s="925" t="s">
        <v>467</v>
      </c>
      <c r="F76" s="925" t="s">
        <v>467</v>
      </c>
      <c r="G76" s="925" t="s">
        <v>467</v>
      </c>
      <c r="H76" s="925" t="s">
        <v>24</v>
      </c>
      <c r="I76" s="942"/>
      <c r="J76" s="110"/>
      <c r="K76" s="110"/>
      <c r="L76" s="110"/>
      <c r="M76" s="110"/>
      <c r="N76" s="110"/>
      <c r="O76" s="110"/>
      <c r="P76" s="110"/>
    </row>
    <row r="77" spans="1:16">
      <c r="A77" s="110" t="s">
        <v>467</v>
      </c>
      <c r="B77" s="110" t="s">
        <v>467</v>
      </c>
      <c r="C77" s="110" t="s">
        <v>467</v>
      </c>
      <c r="D77" s="110" t="s">
        <v>467</v>
      </c>
      <c r="E77" s="110" t="s">
        <v>467</v>
      </c>
      <c r="F77" s="110" t="s">
        <v>467</v>
      </c>
      <c r="G77" s="110" t="s">
        <v>467</v>
      </c>
      <c r="H77" s="110" t="s">
        <v>467</v>
      </c>
      <c r="I77" s="110" t="s">
        <v>467</v>
      </c>
      <c r="J77" s="110"/>
      <c r="K77" s="110"/>
      <c r="L77" s="110"/>
      <c r="M77" s="110"/>
      <c r="N77" s="110"/>
      <c r="O77" s="110"/>
      <c r="P77" s="110"/>
    </row>
    <row r="78" spans="1:16">
      <c r="A78" s="930" t="s">
        <v>1090</v>
      </c>
      <c r="B78" s="931"/>
      <c r="C78" s="931"/>
      <c r="D78" s="931"/>
      <c r="E78" s="931"/>
      <c r="F78" s="931"/>
      <c r="G78" s="931"/>
      <c r="H78" s="931"/>
      <c r="I78" s="932"/>
      <c r="J78" s="110"/>
      <c r="K78" s="110"/>
      <c r="L78" s="110"/>
    </row>
    <row r="79" spans="1:16" ht="24.75" customHeight="1">
      <c r="A79" s="850" t="s">
        <v>521</v>
      </c>
      <c r="B79" s="850" t="s">
        <v>524</v>
      </c>
      <c r="C79" s="90" t="s">
        <v>389</v>
      </c>
      <c r="D79" s="90" t="s">
        <v>525</v>
      </c>
      <c r="E79" s="850" t="s">
        <v>526</v>
      </c>
      <c r="F79" s="850"/>
      <c r="G79" s="850"/>
      <c r="H79" s="850"/>
      <c r="I79" s="850"/>
      <c r="J79" s="110"/>
      <c r="K79" s="110"/>
      <c r="L79" s="110"/>
      <c r="M79" s="117"/>
      <c r="N79" s="117"/>
      <c r="O79" s="117"/>
      <c r="P79" s="117"/>
    </row>
    <row r="80" spans="1:16" ht="90">
      <c r="A80" s="850"/>
      <c r="B80" s="850"/>
      <c r="C80" s="90" t="s">
        <v>816</v>
      </c>
      <c r="D80" s="90" t="s">
        <v>527</v>
      </c>
      <c r="E80" s="850"/>
      <c r="F80" s="850"/>
      <c r="G80" s="850"/>
      <c r="H80" s="850"/>
      <c r="I80" s="850"/>
      <c r="J80" s="118"/>
      <c r="K80" s="118"/>
      <c r="L80" s="118"/>
      <c r="M80" s="117"/>
      <c r="N80" s="117"/>
      <c r="O80" s="117"/>
      <c r="P80" s="117"/>
    </row>
    <row r="81" spans="1:16" ht="75">
      <c r="A81" s="92" t="s">
        <v>528</v>
      </c>
      <c r="B81" s="93" t="s">
        <v>814</v>
      </c>
      <c r="C81" s="94" t="s">
        <v>390</v>
      </c>
      <c r="D81" s="194" t="s">
        <v>24</v>
      </c>
      <c r="E81" s="926" t="s">
        <v>467</v>
      </c>
      <c r="F81" s="926"/>
      <c r="G81" s="926"/>
      <c r="H81" s="926"/>
      <c r="I81" s="926"/>
      <c r="J81" s="110"/>
      <c r="K81" s="110"/>
      <c r="L81" s="110"/>
      <c r="M81" s="117"/>
      <c r="N81" s="117"/>
      <c r="O81" s="117"/>
      <c r="P81" s="117"/>
    </row>
    <row r="82" spans="1:16" ht="90">
      <c r="A82" s="97" t="s">
        <v>530</v>
      </c>
      <c r="B82" s="98" t="s">
        <v>815</v>
      </c>
      <c r="C82" s="94" t="s">
        <v>390</v>
      </c>
      <c r="D82" s="194" t="s">
        <v>24</v>
      </c>
      <c r="E82" s="926"/>
      <c r="F82" s="926"/>
      <c r="G82" s="926"/>
      <c r="H82" s="926"/>
      <c r="I82" s="926"/>
      <c r="J82" s="110"/>
      <c r="K82" s="110"/>
      <c r="L82" s="110"/>
      <c r="M82" s="117"/>
      <c r="N82" s="117"/>
      <c r="O82" s="117"/>
      <c r="P82" s="117"/>
    </row>
    <row r="83" spans="1:16" ht="30">
      <c r="A83" s="97" t="s">
        <v>531</v>
      </c>
      <c r="B83" s="98" t="s">
        <v>392</v>
      </c>
      <c r="C83" s="94" t="s">
        <v>390</v>
      </c>
      <c r="D83" s="194" t="s">
        <v>24</v>
      </c>
      <c r="E83" s="926"/>
      <c r="F83" s="926"/>
      <c r="G83" s="926"/>
      <c r="H83" s="926"/>
      <c r="I83" s="926"/>
      <c r="J83" s="110"/>
      <c r="K83" s="110"/>
      <c r="L83" s="110"/>
      <c r="M83" s="117"/>
      <c r="N83" s="117"/>
      <c r="O83" s="117"/>
      <c r="P83" s="117"/>
    </row>
    <row r="84" spans="1:16" ht="30">
      <c r="A84" s="97" t="s">
        <v>532</v>
      </c>
      <c r="B84" s="98" t="s">
        <v>393</v>
      </c>
      <c r="C84" s="94" t="s">
        <v>390</v>
      </c>
      <c r="D84" s="194" t="s">
        <v>24</v>
      </c>
      <c r="E84" s="926"/>
      <c r="F84" s="926"/>
      <c r="G84" s="926"/>
      <c r="H84" s="926"/>
      <c r="I84" s="926"/>
      <c r="J84" s="110"/>
      <c r="K84" s="110"/>
      <c r="L84" s="110"/>
      <c r="M84" s="117"/>
      <c r="N84" s="117"/>
      <c r="O84" s="117"/>
      <c r="P84" s="117"/>
    </row>
    <row r="85" spans="1:16" ht="45">
      <c r="A85" s="97" t="s">
        <v>533</v>
      </c>
      <c r="B85" s="98" t="s">
        <v>534</v>
      </c>
      <c r="C85" s="94" t="s">
        <v>390</v>
      </c>
      <c r="D85" s="194" t="s">
        <v>24</v>
      </c>
      <c r="E85" s="926"/>
      <c r="F85" s="926"/>
      <c r="G85" s="926"/>
      <c r="H85" s="926"/>
      <c r="I85" s="926"/>
      <c r="J85" s="110"/>
      <c r="K85" s="110"/>
      <c r="L85" s="110"/>
      <c r="M85" s="117"/>
      <c r="N85" s="117"/>
      <c r="O85" s="117"/>
      <c r="P85" s="117"/>
    </row>
    <row r="86" spans="1:16" ht="75">
      <c r="A86" s="97" t="s">
        <v>535</v>
      </c>
      <c r="B86" s="98" t="s">
        <v>536</v>
      </c>
      <c r="C86" s="94" t="s">
        <v>390</v>
      </c>
      <c r="D86" s="194" t="s">
        <v>24</v>
      </c>
      <c r="E86" s="926"/>
      <c r="F86" s="926"/>
      <c r="G86" s="926"/>
      <c r="H86" s="926"/>
      <c r="I86" s="926"/>
      <c r="J86" s="110"/>
      <c r="K86" s="110"/>
      <c r="L86" s="110"/>
      <c r="M86" s="117"/>
      <c r="N86" s="117"/>
      <c r="O86" s="117"/>
      <c r="P86" s="117"/>
    </row>
    <row r="87" spans="1:16" ht="45">
      <c r="A87" s="97" t="s">
        <v>537</v>
      </c>
      <c r="B87" s="98" t="s">
        <v>538</v>
      </c>
      <c r="C87" s="94" t="s">
        <v>390</v>
      </c>
      <c r="D87" s="194" t="s">
        <v>24</v>
      </c>
      <c r="E87" s="926"/>
      <c r="F87" s="926"/>
      <c r="G87" s="926"/>
      <c r="H87" s="926"/>
      <c r="I87" s="926"/>
      <c r="J87" s="110"/>
      <c r="K87" s="110"/>
      <c r="L87" s="110"/>
      <c r="M87" s="117"/>
      <c r="N87" s="117"/>
      <c r="O87" s="117"/>
      <c r="P87" s="117"/>
    </row>
    <row r="88" spans="1:16" ht="45">
      <c r="A88" s="97">
        <v>6.1</v>
      </c>
      <c r="B88" s="98" t="s">
        <v>539</v>
      </c>
      <c r="C88" s="94" t="s">
        <v>390</v>
      </c>
      <c r="D88" s="194" t="s">
        <v>24</v>
      </c>
      <c r="E88" s="926"/>
      <c r="F88" s="926"/>
      <c r="G88" s="926"/>
      <c r="H88" s="926"/>
      <c r="I88" s="926"/>
      <c r="J88" s="110"/>
      <c r="K88" s="110"/>
      <c r="L88" s="110"/>
      <c r="M88" s="117"/>
      <c r="N88" s="117"/>
      <c r="O88" s="117"/>
      <c r="P88" s="117"/>
    </row>
    <row r="89" spans="1:16" ht="45">
      <c r="A89" s="97" t="s">
        <v>540</v>
      </c>
      <c r="B89" s="98" t="s">
        <v>541</v>
      </c>
      <c r="C89" s="94" t="s">
        <v>390</v>
      </c>
      <c r="D89" s="194" t="s">
        <v>24</v>
      </c>
      <c r="E89" s="926"/>
      <c r="F89" s="926"/>
      <c r="G89" s="926"/>
      <c r="H89" s="926"/>
      <c r="I89" s="926"/>
      <c r="J89" s="110"/>
      <c r="K89" s="110"/>
      <c r="L89" s="110"/>
      <c r="M89" s="117"/>
      <c r="N89" s="117"/>
      <c r="O89" s="117"/>
      <c r="P89" s="117"/>
    </row>
    <row r="90" spans="1:16" ht="30">
      <c r="A90" s="97" t="s">
        <v>542</v>
      </c>
      <c r="B90" s="98" t="s">
        <v>543</v>
      </c>
      <c r="C90" s="94" t="s">
        <v>390</v>
      </c>
      <c r="D90" s="194" t="s">
        <v>24</v>
      </c>
      <c r="E90" s="926"/>
      <c r="F90" s="926"/>
      <c r="G90" s="926"/>
      <c r="H90" s="926"/>
      <c r="I90" s="926"/>
      <c r="J90" s="110"/>
      <c r="K90" s="110"/>
      <c r="L90" s="110"/>
      <c r="M90" s="117"/>
      <c r="N90" s="117"/>
      <c r="O90" s="117"/>
      <c r="P90" s="117"/>
    </row>
    <row r="91" spans="1:16" ht="135">
      <c r="A91" s="97" t="s">
        <v>544</v>
      </c>
      <c r="B91" s="98" t="s">
        <v>545</v>
      </c>
      <c r="C91" s="94" t="s">
        <v>390</v>
      </c>
      <c r="D91" s="194" t="s">
        <v>24</v>
      </c>
      <c r="E91" s="926"/>
      <c r="F91" s="926"/>
      <c r="G91" s="926"/>
      <c r="H91" s="926"/>
      <c r="I91" s="926"/>
      <c r="J91" s="110"/>
      <c r="K91" s="110"/>
      <c r="L91" s="110"/>
      <c r="M91" s="117"/>
      <c r="N91" s="117"/>
      <c r="O91" s="117"/>
      <c r="P91" s="117"/>
    </row>
    <row r="92" spans="1:16" ht="30">
      <c r="A92" s="97" t="s">
        <v>546</v>
      </c>
      <c r="B92" s="98" t="s">
        <v>547</v>
      </c>
      <c r="C92" s="94" t="s">
        <v>390</v>
      </c>
      <c r="D92" s="194" t="s">
        <v>24</v>
      </c>
      <c r="E92" s="926"/>
      <c r="F92" s="926"/>
      <c r="G92" s="926"/>
      <c r="H92" s="926"/>
      <c r="I92" s="926"/>
      <c r="J92" s="110"/>
      <c r="K92" s="110"/>
      <c r="L92" s="110"/>
      <c r="M92" s="117"/>
      <c r="N92" s="117"/>
      <c r="O92" s="117"/>
      <c r="P92" s="117"/>
    </row>
    <row r="93" spans="1:16" ht="30">
      <c r="A93" s="97" t="s">
        <v>548</v>
      </c>
      <c r="B93" s="98" t="s">
        <v>549</v>
      </c>
      <c r="C93" s="94" t="s">
        <v>390</v>
      </c>
      <c r="D93" s="194" t="s">
        <v>24</v>
      </c>
      <c r="E93" s="926"/>
      <c r="F93" s="926"/>
      <c r="G93" s="926"/>
      <c r="H93" s="926"/>
      <c r="I93" s="926"/>
      <c r="J93" s="110"/>
      <c r="K93" s="110"/>
      <c r="L93" s="110"/>
      <c r="M93" s="117"/>
      <c r="N93" s="117"/>
      <c r="O93" s="117"/>
      <c r="P93" s="117"/>
    </row>
    <row r="94" spans="1:16" ht="30">
      <c r="A94" s="97" t="s">
        <v>550</v>
      </c>
      <c r="B94" s="98" t="s">
        <v>551</v>
      </c>
      <c r="C94" s="94" t="s">
        <v>390</v>
      </c>
      <c r="D94" s="194" t="s">
        <v>24</v>
      </c>
      <c r="E94" s="926"/>
      <c r="F94" s="926"/>
      <c r="G94" s="926"/>
      <c r="H94" s="926"/>
      <c r="I94" s="926"/>
      <c r="J94" s="110"/>
      <c r="K94" s="110"/>
      <c r="L94" s="110"/>
      <c r="M94" s="117"/>
      <c r="N94" s="117"/>
      <c r="O94" s="117"/>
      <c r="P94" s="117"/>
    </row>
    <row r="95" spans="1:16" ht="75">
      <c r="A95" s="97" t="s">
        <v>552</v>
      </c>
      <c r="B95" s="98" t="s">
        <v>553</v>
      </c>
      <c r="C95" s="94" t="s">
        <v>390</v>
      </c>
      <c r="D95" s="194" t="s">
        <v>24</v>
      </c>
      <c r="E95" s="926"/>
      <c r="F95" s="926"/>
      <c r="G95" s="926"/>
      <c r="H95" s="926"/>
      <c r="I95" s="926"/>
      <c r="J95" s="110"/>
      <c r="K95" s="110"/>
      <c r="L95" s="110"/>
      <c r="M95" s="117"/>
      <c r="N95" s="117"/>
      <c r="O95" s="117"/>
      <c r="P95" s="117"/>
    </row>
    <row r="96" spans="1:16" ht="45">
      <c r="A96" s="97" t="s">
        <v>554</v>
      </c>
      <c r="B96" s="98" t="s">
        <v>555</v>
      </c>
      <c r="C96" s="94" t="s">
        <v>390</v>
      </c>
      <c r="D96" s="194" t="s">
        <v>24</v>
      </c>
      <c r="E96" s="926"/>
      <c r="F96" s="926"/>
      <c r="G96" s="926"/>
      <c r="H96" s="926"/>
      <c r="I96" s="926"/>
      <c r="J96" s="110"/>
      <c r="K96" s="110"/>
      <c r="L96" s="110"/>
      <c r="M96" s="117"/>
      <c r="N96" s="117"/>
      <c r="O96" s="117"/>
      <c r="P96" s="117"/>
    </row>
    <row r="97" spans="1:16" ht="165">
      <c r="A97" s="97" t="s">
        <v>556</v>
      </c>
      <c r="B97" s="98" t="s">
        <v>557</v>
      </c>
      <c r="C97" s="94" t="s">
        <v>390</v>
      </c>
      <c r="D97" s="194" t="s">
        <v>24</v>
      </c>
      <c r="E97" s="926"/>
      <c r="F97" s="926"/>
      <c r="G97" s="926"/>
      <c r="H97" s="926"/>
      <c r="I97" s="926"/>
      <c r="J97" s="110"/>
      <c r="K97" s="110"/>
      <c r="L97" s="110"/>
      <c r="M97" s="117"/>
      <c r="N97" s="117"/>
      <c r="O97" s="117"/>
      <c r="P97" s="117"/>
    </row>
    <row r="98" spans="1:16" ht="195">
      <c r="A98" s="97" t="s">
        <v>558</v>
      </c>
      <c r="B98" s="98" t="s">
        <v>559</v>
      </c>
      <c r="C98" s="94" t="s">
        <v>390</v>
      </c>
      <c r="D98" s="194" t="s">
        <v>24</v>
      </c>
      <c r="E98" s="926"/>
      <c r="F98" s="926"/>
      <c r="G98" s="926"/>
      <c r="H98" s="926"/>
      <c r="I98" s="926"/>
      <c r="J98" s="110"/>
      <c r="K98" s="110"/>
      <c r="L98" s="110"/>
      <c r="M98" s="117"/>
      <c r="N98" s="117"/>
      <c r="O98" s="117"/>
      <c r="P98" s="117"/>
    </row>
    <row r="99" spans="1:16" ht="105">
      <c r="A99" s="97" t="s">
        <v>560</v>
      </c>
      <c r="B99" s="98" t="s">
        <v>561</v>
      </c>
      <c r="C99" s="94" t="s">
        <v>390</v>
      </c>
      <c r="D99" s="194" t="s">
        <v>24</v>
      </c>
      <c r="E99" s="926"/>
      <c r="F99" s="926"/>
      <c r="G99" s="926"/>
      <c r="H99" s="926"/>
      <c r="I99" s="926"/>
      <c r="J99" s="110"/>
      <c r="K99" s="110"/>
      <c r="L99" s="110"/>
      <c r="M99" s="117"/>
      <c r="N99" s="117"/>
      <c r="O99" s="117"/>
      <c r="P99" s="117"/>
    </row>
    <row r="100" spans="1:16" ht="165">
      <c r="A100" s="97" t="s">
        <v>562</v>
      </c>
      <c r="B100" s="98" t="s">
        <v>563</v>
      </c>
      <c r="C100" s="94" t="s">
        <v>390</v>
      </c>
      <c r="D100" s="194" t="s">
        <v>24</v>
      </c>
      <c r="E100" s="926"/>
      <c r="F100" s="926"/>
      <c r="G100" s="926"/>
      <c r="H100" s="926"/>
      <c r="I100" s="926"/>
      <c r="J100" s="110"/>
      <c r="K100" s="110"/>
      <c r="L100" s="110"/>
      <c r="M100" s="117"/>
      <c r="N100" s="117"/>
      <c r="O100" s="117"/>
      <c r="P100" s="117"/>
    </row>
    <row r="101" spans="1:16" ht="45">
      <c r="A101" s="97" t="s">
        <v>564</v>
      </c>
      <c r="B101" s="98" t="s">
        <v>565</v>
      </c>
      <c r="C101" s="94" t="s">
        <v>390</v>
      </c>
      <c r="D101" s="194" t="s">
        <v>24</v>
      </c>
      <c r="E101" s="926"/>
      <c r="F101" s="926"/>
      <c r="G101" s="926"/>
      <c r="H101" s="926"/>
      <c r="I101" s="926"/>
      <c r="J101" s="110"/>
      <c r="K101" s="110"/>
      <c r="L101" s="110"/>
      <c r="M101" s="117"/>
      <c r="N101" s="117"/>
      <c r="O101" s="117"/>
      <c r="P101" s="117"/>
    </row>
    <row r="102" spans="1:16" ht="45">
      <c r="A102" s="97" t="s">
        <v>566</v>
      </c>
      <c r="B102" s="98" t="s">
        <v>567</v>
      </c>
      <c r="C102" s="94" t="s">
        <v>390</v>
      </c>
      <c r="D102" s="194" t="s">
        <v>24</v>
      </c>
      <c r="E102" s="926"/>
      <c r="F102" s="926"/>
      <c r="G102" s="926"/>
      <c r="H102" s="926"/>
      <c r="I102" s="926"/>
      <c r="J102" s="110"/>
      <c r="K102" s="110"/>
      <c r="L102" s="110"/>
      <c r="M102" s="117"/>
      <c r="N102" s="117"/>
      <c r="O102" s="117"/>
      <c r="P102" s="117"/>
    </row>
    <row r="103" spans="1:16" ht="90">
      <c r="A103" s="97" t="s">
        <v>568</v>
      </c>
      <c r="B103" s="98" t="s">
        <v>569</v>
      </c>
      <c r="C103" s="94" t="s">
        <v>390</v>
      </c>
      <c r="D103" s="194" t="s">
        <v>24</v>
      </c>
      <c r="E103" s="926"/>
      <c r="F103" s="926"/>
      <c r="G103" s="926"/>
      <c r="H103" s="926"/>
      <c r="I103" s="926"/>
      <c r="J103" s="110"/>
      <c r="K103" s="110"/>
      <c r="L103" s="110"/>
      <c r="M103" s="117"/>
      <c r="N103" s="117"/>
      <c r="O103" s="117"/>
      <c r="P103" s="117"/>
    </row>
    <row r="104" spans="1:16" ht="45">
      <c r="A104" s="97" t="s">
        <v>570</v>
      </c>
      <c r="B104" s="98" t="s">
        <v>571</v>
      </c>
      <c r="C104" s="94" t="s">
        <v>390</v>
      </c>
      <c r="D104" s="194" t="s">
        <v>24</v>
      </c>
      <c r="E104" s="926"/>
      <c r="F104" s="926"/>
      <c r="G104" s="926"/>
      <c r="H104" s="926"/>
      <c r="I104" s="926"/>
      <c r="J104" s="110"/>
      <c r="K104" s="110"/>
      <c r="L104" s="110"/>
      <c r="M104" s="117"/>
      <c r="N104" s="117"/>
      <c r="O104" s="117"/>
      <c r="P104" s="117"/>
    </row>
    <row r="105" spans="1:16" ht="90">
      <c r="A105" s="97" t="s">
        <v>572</v>
      </c>
      <c r="B105" s="98" t="s">
        <v>573</v>
      </c>
      <c r="C105" s="94" t="s">
        <v>390</v>
      </c>
      <c r="D105" s="194" t="s">
        <v>24</v>
      </c>
      <c r="E105" s="926"/>
      <c r="F105" s="926"/>
      <c r="G105" s="926"/>
      <c r="H105" s="926"/>
      <c r="I105" s="926"/>
      <c r="J105" s="110"/>
      <c r="K105" s="110"/>
      <c r="L105" s="110"/>
      <c r="M105" s="117"/>
      <c r="N105" s="117"/>
      <c r="O105" s="117"/>
      <c r="P105" s="117"/>
    </row>
    <row r="106" spans="1:16" ht="30">
      <c r="A106" s="97" t="s">
        <v>574</v>
      </c>
      <c r="B106" s="98" t="s">
        <v>575</v>
      </c>
      <c r="C106" s="94" t="s">
        <v>390</v>
      </c>
      <c r="D106" s="194" t="s">
        <v>24</v>
      </c>
      <c r="E106" s="926"/>
      <c r="F106" s="926"/>
      <c r="G106" s="926"/>
      <c r="H106" s="926"/>
      <c r="I106" s="926"/>
      <c r="J106" s="110"/>
      <c r="K106" s="110"/>
      <c r="L106" s="110"/>
      <c r="M106" s="117"/>
      <c r="N106" s="117"/>
      <c r="O106" s="117"/>
      <c r="P106" s="117"/>
    </row>
    <row r="107" spans="1:16" ht="45">
      <c r="A107" s="97" t="s">
        <v>576</v>
      </c>
      <c r="B107" s="98" t="s">
        <v>577</v>
      </c>
      <c r="C107" s="94" t="s">
        <v>390</v>
      </c>
      <c r="D107" s="194" t="s">
        <v>24</v>
      </c>
      <c r="E107" s="926"/>
      <c r="F107" s="926"/>
      <c r="G107" s="926"/>
      <c r="H107" s="926"/>
      <c r="I107" s="926"/>
      <c r="J107" s="110"/>
      <c r="K107" s="110"/>
      <c r="L107" s="110"/>
      <c r="M107" s="117"/>
      <c r="N107" s="117"/>
      <c r="O107" s="117"/>
      <c r="P107" s="117"/>
    </row>
    <row r="108" spans="1:16" ht="30">
      <c r="A108" s="100" t="s">
        <v>578</v>
      </c>
      <c r="B108" s="101" t="s">
        <v>579</v>
      </c>
      <c r="C108" s="94" t="s">
        <v>390</v>
      </c>
      <c r="D108" s="194" t="s">
        <v>24</v>
      </c>
      <c r="E108" s="926"/>
      <c r="F108" s="926"/>
      <c r="G108" s="926"/>
      <c r="H108" s="926"/>
      <c r="I108" s="926"/>
      <c r="J108" s="110"/>
      <c r="K108" s="110"/>
      <c r="L108" s="110"/>
      <c r="M108" s="117"/>
      <c r="N108" s="117"/>
      <c r="O108" s="117"/>
      <c r="P108" s="117"/>
    </row>
    <row r="109" spans="1:16">
      <c r="A109" s="849" t="s">
        <v>661</v>
      </c>
      <c r="B109" s="849"/>
      <c r="C109" s="849"/>
      <c r="D109" s="849"/>
      <c r="E109" s="849"/>
      <c r="F109" s="849"/>
      <c r="G109" s="117"/>
      <c r="H109" s="117"/>
      <c r="I109" s="117"/>
      <c r="J109" s="117"/>
      <c r="K109" s="117"/>
      <c r="L109" s="117"/>
      <c r="M109" s="117"/>
      <c r="N109" s="117"/>
      <c r="O109" s="117"/>
      <c r="P109" s="117"/>
    </row>
  </sheetData>
  <sheetProtection selectLockedCells="1"/>
  <mergeCells count="231">
    <mergeCell ref="E102:I102"/>
    <mergeCell ref="E103:I103"/>
    <mergeCell ref="E104:I104"/>
    <mergeCell ref="E105:I105"/>
    <mergeCell ref="E106:I106"/>
    <mergeCell ref="E107:I107"/>
    <mergeCell ref="E108:I108"/>
    <mergeCell ref="A109:F109"/>
    <mergeCell ref="A79:A80"/>
    <mergeCell ref="B79:B80"/>
    <mergeCell ref="E79:I80"/>
    <mergeCell ref="E93:I93"/>
    <mergeCell ref="E94:I94"/>
    <mergeCell ref="E95:I95"/>
    <mergeCell ref="E96:I96"/>
    <mergeCell ref="E97:I97"/>
    <mergeCell ref="E98:I98"/>
    <mergeCell ref="E99:I99"/>
    <mergeCell ref="E100:I100"/>
    <mergeCell ref="E101:I101"/>
    <mergeCell ref="E84:I84"/>
    <mergeCell ref="E85:I85"/>
    <mergeCell ref="E86:I86"/>
    <mergeCell ref="E87:I87"/>
    <mergeCell ref="E88:I88"/>
    <mergeCell ref="E89:I89"/>
    <mergeCell ref="E90:I90"/>
    <mergeCell ref="E91:I91"/>
    <mergeCell ref="E92:I92"/>
    <mergeCell ref="A74:I74"/>
    <mergeCell ref="A75:G75"/>
    <mergeCell ref="H75:I75"/>
    <mergeCell ref="A76:G76"/>
    <mergeCell ref="H76:I76"/>
    <mergeCell ref="E81:I81"/>
    <mergeCell ref="E82:I82"/>
    <mergeCell ref="E83:I83"/>
    <mergeCell ref="A78:I78"/>
    <mergeCell ref="B68:H68"/>
    <mergeCell ref="J68:K68"/>
    <mergeCell ref="B69:H69"/>
    <mergeCell ref="J69:K69"/>
    <mergeCell ref="B70:H70"/>
    <mergeCell ref="J70:K70"/>
    <mergeCell ref="B71:H71"/>
    <mergeCell ref="J71:K71"/>
    <mergeCell ref="B72:H72"/>
    <mergeCell ref="J72:K72"/>
    <mergeCell ref="B62:C62"/>
    <mergeCell ref="D62:E62"/>
    <mergeCell ref="F62:G62"/>
    <mergeCell ref="H62:K62"/>
    <mergeCell ref="A63:G63"/>
    <mergeCell ref="A65:K65"/>
    <mergeCell ref="B66:H66"/>
    <mergeCell ref="J66:K66"/>
    <mergeCell ref="B67:H67"/>
    <mergeCell ref="J67:K67"/>
    <mergeCell ref="B59:C59"/>
    <mergeCell ref="D59:E59"/>
    <mergeCell ref="F59:G59"/>
    <mergeCell ref="H59:K59"/>
    <mergeCell ref="B60:C60"/>
    <mergeCell ref="D60:E60"/>
    <mergeCell ref="F60:G60"/>
    <mergeCell ref="H60:K60"/>
    <mergeCell ref="B61:C61"/>
    <mergeCell ref="D61:E61"/>
    <mergeCell ref="F61:G61"/>
    <mergeCell ref="H61:K61"/>
    <mergeCell ref="B56:C56"/>
    <mergeCell ref="D56:E56"/>
    <mergeCell ref="F56:G56"/>
    <mergeCell ref="H56:K56"/>
    <mergeCell ref="B57:C57"/>
    <mergeCell ref="D57:E57"/>
    <mergeCell ref="F57:G57"/>
    <mergeCell ref="H57:K57"/>
    <mergeCell ref="B58:C58"/>
    <mergeCell ref="D58:E58"/>
    <mergeCell ref="F58:G58"/>
    <mergeCell ref="H58:K58"/>
    <mergeCell ref="A51:C51"/>
    <mergeCell ref="E51:K51"/>
    <mergeCell ref="L51:N51"/>
    <mergeCell ref="A52:C52"/>
    <mergeCell ref="E52:K52"/>
    <mergeCell ref="L52:N52"/>
    <mergeCell ref="A54:K54"/>
    <mergeCell ref="B55:C55"/>
    <mergeCell ref="D55:E55"/>
    <mergeCell ref="F55:G55"/>
    <mergeCell ref="H55:K55"/>
    <mergeCell ref="A46:K46"/>
    <mergeCell ref="A47:K47"/>
    <mergeCell ref="A48:C48"/>
    <mergeCell ref="E48:K48"/>
    <mergeCell ref="A49:C49"/>
    <mergeCell ref="E49:K49"/>
    <mergeCell ref="L49:N49"/>
    <mergeCell ref="A50:C50"/>
    <mergeCell ref="E50:K50"/>
    <mergeCell ref="L50:N50"/>
    <mergeCell ref="A41:K41"/>
    <mergeCell ref="A42:D42"/>
    <mergeCell ref="E42:K42"/>
    <mergeCell ref="A43:D43"/>
    <mergeCell ref="E43:K43"/>
    <mergeCell ref="A44:D44"/>
    <mergeCell ref="E44:K44"/>
    <mergeCell ref="A45:D45"/>
    <mergeCell ref="E45:K45"/>
    <mergeCell ref="A35:G35"/>
    <mergeCell ref="H35:I35"/>
    <mergeCell ref="A36:G36"/>
    <mergeCell ref="H36:I36"/>
    <mergeCell ref="A37:G37"/>
    <mergeCell ref="H37:I37"/>
    <mergeCell ref="A38:G38"/>
    <mergeCell ref="H38:I38"/>
    <mergeCell ref="A39:G39"/>
    <mergeCell ref="H39:I39"/>
    <mergeCell ref="A30:B30"/>
    <mergeCell ref="C30:K30"/>
    <mergeCell ref="L30:P30"/>
    <mergeCell ref="A31:B31"/>
    <mergeCell ref="C31:K31"/>
    <mergeCell ref="L31:P31"/>
    <mergeCell ref="A33:I33"/>
    <mergeCell ref="A34:G34"/>
    <mergeCell ref="H34:I34"/>
    <mergeCell ref="A26:B26"/>
    <mergeCell ref="C26:K26"/>
    <mergeCell ref="A27:B27"/>
    <mergeCell ref="C27:K27"/>
    <mergeCell ref="A28:B28"/>
    <mergeCell ref="C28:K28"/>
    <mergeCell ref="L28:P28"/>
    <mergeCell ref="A29:B29"/>
    <mergeCell ref="C29:K29"/>
    <mergeCell ref="L29:P29"/>
    <mergeCell ref="A23:B23"/>
    <mergeCell ref="C23:E23"/>
    <mergeCell ref="F23:I23"/>
    <mergeCell ref="J23:K23"/>
    <mergeCell ref="A24:B24"/>
    <mergeCell ref="C24:E24"/>
    <mergeCell ref="F24:I24"/>
    <mergeCell ref="J24:K24"/>
    <mergeCell ref="A25:P25"/>
    <mergeCell ref="A20:B20"/>
    <mergeCell ref="C20:E20"/>
    <mergeCell ref="F20:I20"/>
    <mergeCell ref="J20:K20"/>
    <mergeCell ref="A21:B21"/>
    <mergeCell ref="C21:E21"/>
    <mergeCell ref="F21:I21"/>
    <mergeCell ref="J21:K21"/>
    <mergeCell ref="A22:B22"/>
    <mergeCell ref="C22:E22"/>
    <mergeCell ref="F22:I22"/>
    <mergeCell ref="J22:K22"/>
    <mergeCell ref="B16:C16"/>
    <mergeCell ref="D16:G16"/>
    <mergeCell ref="H16:I16"/>
    <mergeCell ref="J16:K16"/>
    <mergeCell ref="L16:P16"/>
    <mergeCell ref="A18:K18"/>
    <mergeCell ref="A19:B19"/>
    <mergeCell ref="C19:E19"/>
    <mergeCell ref="F19:I19"/>
    <mergeCell ref="J19:K19"/>
    <mergeCell ref="B14:C14"/>
    <mergeCell ref="D14:G14"/>
    <mergeCell ref="H14:I14"/>
    <mergeCell ref="J14:K14"/>
    <mergeCell ref="L14:P14"/>
    <mergeCell ref="B15:C15"/>
    <mergeCell ref="D15:G15"/>
    <mergeCell ref="H15:I15"/>
    <mergeCell ref="J15:K15"/>
    <mergeCell ref="L15:P15"/>
    <mergeCell ref="B12:C12"/>
    <mergeCell ref="D12:G12"/>
    <mergeCell ref="H12:I12"/>
    <mergeCell ref="J12:K12"/>
    <mergeCell ref="L12:P12"/>
    <mergeCell ref="B13:C13"/>
    <mergeCell ref="D13:G13"/>
    <mergeCell ref="H13:I13"/>
    <mergeCell ref="J13:K13"/>
    <mergeCell ref="L13:P13"/>
    <mergeCell ref="B10:C10"/>
    <mergeCell ref="D10:G10"/>
    <mergeCell ref="H10:I10"/>
    <mergeCell ref="J10:K10"/>
    <mergeCell ref="L10:P10"/>
    <mergeCell ref="B11:C11"/>
    <mergeCell ref="D11:G11"/>
    <mergeCell ref="H11:I11"/>
    <mergeCell ref="J11:K11"/>
    <mergeCell ref="L11:P11"/>
    <mergeCell ref="B8:C8"/>
    <mergeCell ref="D8:G8"/>
    <mergeCell ref="H8:I8"/>
    <mergeCell ref="J8:K8"/>
    <mergeCell ref="L8:P8"/>
    <mergeCell ref="B9:C9"/>
    <mergeCell ref="D9:G9"/>
    <mergeCell ref="H9:I9"/>
    <mergeCell ref="J9:K9"/>
    <mergeCell ref="L9:P9"/>
    <mergeCell ref="B6:C6"/>
    <mergeCell ref="D6:G6"/>
    <mergeCell ref="H6:I6"/>
    <mergeCell ref="J6:K6"/>
    <mergeCell ref="L6:P6"/>
    <mergeCell ref="B7:C7"/>
    <mergeCell ref="D7:G7"/>
    <mergeCell ref="H7:I7"/>
    <mergeCell ref="J7:K7"/>
    <mergeCell ref="L7:P7"/>
    <mergeCell ref="A1:K1"/>
    <mergeCell ref="A2:K2"/>
    <mergeCell ref="A3:K3"/>
    <mergeCell ref="A4:K4"/>
    <mergeCell ref="B5:C5"/>
    <mergeCell ref="D5:G5"/>
    <mergeCell ref="H5:I5"/>
    <mergeCell ref="J5:K5"/>
    <mergeCell ref="L5:P5"/>
  </mergeCells>
  <conditionalFormatting sqref="D81:D108">
    <cfRule type="expression" dxfId="3" priority="1">
      <formula>D81="NC"</formula>
    </cfRule>
    <cfRule type="expression" dxfId="2" priority="2">
      <formula>D81="OFI"</formula>
    </cfRule>
    <cfRule type="expression" dxfId="1" priority="3">
      <formula>D81="O"</formula>
    </cfRule>
    <cfRule type="expression" dxfId="0" priority="4">
      <formula>D81="C"</formula>
    </cfRule>
  </conditionalFormatting>
  <dataValidations count="6">
    <dataValidation type="list" sqref="C81:C108" xr:uid="{00000000-0002-0000-0B00-000000000000}">
      <formula1>"□,☑,N/A"</formula1>
    </dataValidation>
    <dataValidation type="list" sqref="D48:D51" xr:uid="{00000000-0002-0000-0B00-000001000000}">
      <formula1>"Yes,No,N/A"</formula1>
    </dataValidation>
    <dataValidation type="list" sqref="D81:D108" xr:uid="{00000000-0002-0000-0B00-000002000000}">
      <formula1>"C,NC,O,OFI,N/A"</formula1>
    </dataValidation>
    <dataValidation type="list" sqref="E56:E63" xr:uid="{00000000-0002-0000-0B00-000003000000}">
      <formula1>"Minor,Major,Observation,OFI,N/A"</formula1>
    </dataValidation>
    <dataValidation type="list" sqref="H67:H72" xr:uid="{00000000-0002-0000-0B00-000004000000}">
      <formula1>"Open,Closed,Planned,N/A"</formula1>
    </dataValidation>
    <dataValidation type="list" sqref="I56:I63" xr:uid="{00000000-0002-0000-0B00-000005000000}">
      <formula1>"Open,Closed,N/A"</formula1>
    </dataValidation>
  </dataValidations>
  <pageMargins left="0.62992125984252001" right="0.27559055118110198" top="1.02362204724409" bottom="0.74803149606299202" header="0.31496062992126" footer="0.31496062992126"/>
  <pageSetup paperSize="9" scale="44" fitToHeight="0" pageOrder="overThenDown" orientation="portrait"/>
  <headerFooter>
    <oddHeader>&amp;L&amp;G</oddHeader>
    <oddFooter>&amp;CPage &amp;P</oddFooter>
  </headerFooter>
  <legacyDrawingHF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M11"/>
  <sheetViews>
    <sheetView zoomScale="70" zoomScaleNormal="70" workbookViewId="0">
      <selection activeCell="B6" sqref="B6"/>
    </sheetView>
  </sheetViews>
  <sheetFormatPr defaultColWidth="8.625" defaultRowHeight="15"/>
  <cols>
    <col min="1" max="2" width="9.125" style="19" customWidth="1"/>
    <col min="3" max="3" width="8.125" style="19" customWidth="1"/>
    <col min="4" max="4" width="30.5" style="19" customWidth="1"/>
    <col min="5" max="5" width="13.125" style="19" customWidth="1"/>
    <col min="6" max="6" width="12.625" style="19" customWidth="1"/>
    <col min="7" max="7" width="18.5" style="19" customWidth="1"/>
    <col min="8" max="8" width="13.625" style="19" customWidth="1"/>
    <col min="9" max="9" width="17.625" style="19" customWidth="1"/>
    <col min="10" max="12" width="9" style="19" hidden="1" customWidth="1"/>
    <col min="13" max="16384" width="8.625" style="19"/>
  </cols>
  <sheetData>
    <row r="1" spans="1:13">
      <c r="A1" s="967" t="s">
        <v>662</v>
      </c>
      <c r="B1" s="967"/>
      <c r="C1" s="967"/>
      <c r="D1" s="967"/>
      <c r="E1" s="967"/>
      <c r="F1" s="967"/>
      <c r="G1" s="967"/>
      <c r="H1" s="967"/>
      <c r="I1" s="967"/>
      <c r="L1" s="20"/>
      <c r="M1" s="21"/>
    </row>
    <row r="2" spans="1:13">
      <c r="A2" s="723" t="s">
        <v>426</v>
      </c>
      <c r="B2" s="727"/>
      <c r="C2" s="727"/>
      <c r="D2" s="727"/>
      <c r="E2" s="724"/>
      <c r="F2" s="719" t="str">
        <f>IF(ID=0," ",ID)</f>
        <v/>
      </c>
      <c r="G2" s="719"/>
      <c r="H2" s="719"/>
      <c r="I2" s="718"/>
      <c r="J2" s="718"/>
      <c r="K2" s="718"/>
      <c r="L2" s="718"/>
    </row>
    <row r="3" spans="1:13">
      <c r="A3" s="793" t="s">
        <v>310</v>
      </c>
      <c r="B3" s="794"/>
      <c r="C3" s="794"/>
      <c r="D3" s="794"/>
      <c r="E3" s="795"/>
      <c r="F3" s="740" t="str">
        <f>IF(ORGN=0," ",ORGN)</f>
        <v/>
      </c>
      <c r="G3" s="741"/>
      <c r="H3" s="742"/>
      <c r="I3" s="794"/>
      <c r="J3" s="794"/>
      <c r="K3" s="794"/>
      <c r="L3" s="795"/>
    </row>
    <row r="4" spans="1:13" ht="15.75" customHeight="1">
      <c r="A4" s="793" t="s">
        <v>312</v>
      </c>
      <c r="B4" s="794"/>
      <c r="C4" s="794"/>
      <c r="D4" s="794"/>
      <c r="E4" s="795"/>
      <c r="F4" s="968" t="str">
        <f>IF(STANDARD=0," ",STANDARD)</f>
        <v/>
      </c>
      <c r="G4" s="969"/>
      <c r="H4" s="970"/>
      <c r="I4" s="794"/>
      <c r="J4" s="794"/>
      <c r="K4" s="794"/>
      <c r="L4" s="795"/>
    </row>
    <row r="5" spans="1:13" ht="62.25" customHeight="1">
      <c r="A5" s="23" t="s">
        <v>663</v>
      </c>
      <c r="B5" s="23" t="s">
        <v>664</v>
      </c>
      <c r="C5" s="23" t="s">
        <v>665</v>
      </c>
      <c r="D5" s="23" t="s">
        <v>666</v>
      </c>
      <c r="E5" s="23" t="s">
        <v>667</v>
      </c>
      <c r="F5" s="23" t="s">
        <v>668</v>
      </c>
      <c r="G5" s="971" t="s">
        <v>669</v>
      </c>
      <c r="H5" s="972"/>
      <c r="I5" s="23" t="s">
        <v>670</v>
      </c>
      <c r="L5" s="20"/>
    </row>
    <row r="6" spans="1:13" ht="77.25" customHeight="1">
      <c r="A6" s="24">
        <v>1</v>
      </c>
      <c r="B6" s="24" t="str">
        <f>IF(ST2MINNCCL1=0," ",ST2MINNCCL1)</f>
        <v/>
      </c>
      <c r="C6" s="24" t="str">
        <f>IF(TYPENC1=0," ",TYPENC1)</f>
        <v/>
      </c>
      <c r="D6" s="24" t="str">
        <f>IF(ST2MINNC1=0," ",ST2MINNC1)</f>
        <v/>
      </c>
      <c r="E6" s="975" t="str">
        <f>IF(ST2AUDDATE2=0," ",ST2AUDDATE2)</f>
        <v/>
      </c>
      <c r="F6" s="24" t="str">
        <f>IF(PROCESSDEPT1=0," ",PROCESSDEPT1)</f>
        <v/>
      </c>
      <c r="G6" s="981" t="str">
        <f>IF(CONTACTPERS=0," ",CONTACTPERS)</f>
        <v/>
      </c>
      <c r="H6" s="982"/>
      <c r="I6" s="978" t="str">
        <f>IF(AUDITOR1=0," ",AUDITOR1)</f>
        <v/>
      </c>
      <c r="L6" s="20"/>
    </row>
    <row r="7" spans="1:13" ht="77.25" customHeight="1">
      <c r="A7" s="24"/>
      <c r="B7" s="24" t="str">
        <f>IF(ST2MINNCCL2=0," ",ST2MINNCCL2)</f>
        <v/>
      </c>
      <c r="C7" s="24" t="str">
        <f>IF(TYPENC2=0," ",TYPENC2)</f>
        <v/>
      </c>
      <c r="D7" s="24" t="str">
        <f>IF(ST2MINNC2=0," ",ST2MINNC2)</f>
        <v/>
      </c>
      <c r="E7" s="976"/>
      <c r="F7" s="24" t="str">
        <f>IF(PROCESSDEPT2=0," ",PROCESSDEPT2)</f>
        <v/>
      </c>
      <c r="G7" s="983"/>
      <c r="H7" s="984"/>
      <c r="I7" s="979"/>
      <c r="L7" s="20"/>
    </row>
    <row r="8" spans="1:13" ht="77.25" customHeight="1">
      <c r="A8" s="24"/>
      <c r="B8" s="24"/>
      <c r="C8" s="24" t="str">
        <f>IF(TYPENC3=0," ",TYPENC3)</f>
        <v/>
      </c>
      <c r="D8" s="24"/>
      <c r="E8" s="977"/>
      <c r="F8" s="24" t="str">
        <f>IF(PROCESSDEPT3=0," ",PROCESSDEPT3)</f>
        <v/>
      </c>
      <c r="G8" s="985"/>
      <c r="H8" s="986"/>
      <c r="I8" s="980"/>
      <c r="L8" s="20"/>
    </row>
    <row r="9" spans="1:13" ht="115.5" customHeight="1">
      <c r="A9" s="646" t="s">
        <v>671</v>
      </c>
      <c r="B9" s="646"/>
      <c r="C9" s="646"/>
      <c r="D9" s="646"/>
      <c r="E9" s="646"/>
      <c r="F9" s="646"/>
      <c r="G9" s="646"/>
      <c r="H9" s="646"/>
      <c r="I9" s="646"/>
      <c r="L9" s="20"/>
    </row>
    <row r="10" spans="1:13">
      <c r="A10" s="973" t="s">
        <v>672</v>
      </c>
      <c r="B10" s="973"/>
      <c r="C10" s="973"/>
      <c r="D10" s="973"/>
      <c r="E10" s="973"/>
      <c r="F10" s="973"/>
    </row>
    <row r="11" spans="1:13">
      <c r="A11" s="974"/>
      <c r="B11" s="974"/>
      <c r="C11" s="974"/>
      <c r="D11" s="974"/>
      <c r="E11" s="974"/>
      <c r="F11" s="974"/>
    </row>
  </sheetData>
  <sheetProtection selectLockedCells="1" selectUnlockedCells="1"/>
  <mergeCells count="17">
    <mergeCell ref="A10:F10"/>
    <mergeCell ref="A11:F11"/>
    <mergeCell ref="E6:E8"/>
    <mergeCell ref="I6:I8"/>
    <mergeCell ref="G6:H8"/>
    <mergeCell ref="A4:E4"/>
    <mergeCell ref="F4:H4"/>
    <mergeCell ref="I4:L4"/>
    <mergeCell ref="G5:H5"/>
    <mergeCell ref="A9:I9"/>
    <mergeCell ref="A1:I1"/>
    <mergeCell ref="A2:E2"/>
    <mergeCell ref="F2:H2"/>
    <mergeCell ref="I2:L2"/>
    <mergeCell ref="A3:E3"/>
    <mergeCell ref="F3:H3"/>
    <mergeCell ref="I3:L3"/>
  </mergeCells>
  <pageMargins left="0.70866141732283505" right="0.70866141732283505" top="1.2204724409448799" bottom="0.74803149606299202" header="0.31496062992126" footer="0.31496062992126"/>
  <pageSetup paperSize="9" pageOrder="overThenDown" orientation="portrait"/>
  <headerFooter>
    <oddHeader>&amp;L&amp;G</oddHeader>
    <oddFooter>&amp;CPage &amp;P</oddFooter>
  </headerFooter>
  <legacyDrawingHF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G20"/>
  <sheetViews>
    <sheetView topLeftCell="A10" workbookViewId="0">
      <selection activeCell="B10" sqref="B10:G10"/>
    </sheetView>
  </sheetViews>
  <sheetFormatPr defaultColWidth="8.625" defaultRowHeight="15"/>
  <cols>
    <col min="1" max="1" width="31.5" style="3" customWidth="1"/>
    <col min="2" max="6" width="8.625" style="3"/>
    <col min="7" max="7" width="14.125" style="3" customWidth="1"/>
    <col min="8" max="16384" width="8.625" style="3"/>
  </cols>
  <sheetData>
    <row r="1" spans="1:7">
      <c r="A1" s="987" t="s">
        <v>673</v>
      </c>
      <c r="B1" s="987"/>
      <c r="C1" s="987"/>
      <c r="D1" s="987"/>
      <c r="E1" s="987"/>
      <c r="F1" s="987"/>
      <c r="G1" s="987"/>
    </row>
    <row r="2" spans="1:7">
      <c r="A2" s="17" t="s">
        <v>310</v>
      </c>
      <c r="B2" s="333" t="str">
        <f>IF(ORGN=0," ",ORGN)</f>
        <v/>
      </c>
      <c r="C2" s="334"/>
      <c r="D2" s="334"/>
      <c r="E2" s="334"/>
      <c r="F2" s="334"/>
      <c r="G2" s="335"/>
    </row>
    <row r="3" spans="1:7">
      <c r="A3" s="17" t="s">
        <v>319</v>
      </c>
      <c r="B3" s="699" t="str">
        <f>IF(STANDARD=0," ",STANDARD)</f>
        <v/>
      </c>
      <c r="C3" s="700"/>
      <c r="D3" s="700"/>
      <c r="E3" s="700"/>
      <c r="F3" s="700"/>
      <c r="G3" s="701"/>
    </row>
    <row r="4" spans="1:7">
      <c r="A4" s="17" t="s">
        <v>663</v>
      </c>
      <c r="B4" s="699" t="str">
        <f>IF(ST2MINNCQTY=0," ",ST2MINNCQTY)</f>
        <v/>
      </c>
      <c r="C4" s="700"/>
      <c r="D4" s="700"/>
      <c r="E4" s="700"/>
      <c r="F4" s="700"/>
      <c r="G4" s="701"/>
    </row>
    <row r="5" spans="1:7">
      <c r="A5" s="17" t="s">
        <v>674</v>
      </c>
      <c r="B5" s="699" t="str">
        <f>IF(PROCESSDEPT1=0," ",PROCESSDEPT1)</f>
        <v/>
      </c>
      <c r="C5" s="700"/>
      <c r="D5" s="700"/>
      <c r="E5" s="700"/>
      <c r="F5" s="700"/>
      <c r="G5" s="701"/>
    </row>
    <row r="6" spans="1:7">
      <c r="A6" s="17" t="s">
        <v>586</v>
      </c>
      <c r="B6" s="699" t="s">
        <v>352</v>
      </c>
      <c r="C6" s="700"/>
      <c r="D6" s="700"/>
      <c r="E6" s="700"/>
      <c r="F6" s="700"/>
      <c r="G6" s="701"/>
    </row>
    <row r="7" spans="1:7">
      <c r="A7" s="17" t="s">
        <v>515</v>
      </c>
      <c r="B7" s="699" t="str">
        <f>IF(ST2MINNCCL1=0," ",ST2MINNCCL1)</f>
        <v/>
      </c>
      <c r="C7" s="700"/>
      <c r="D7" s="700"/>
      <c r="E7" s="700"/>
      <c r="F7" s="700"/>
      <c r="G7" s="701"/>
    </row>
    <row r="8" spans="1:7" ht="14.25" customHeight="1">
      <c r="A8" s="17" t="s">
        <v>675</v>
      </c>
      <c r="B8" s="699" t="str">
        <f>IF(ST2MINNC1=0," ",ST2MINNC1)</f>
        <v/>
      </c>
      <c r="C8" s="700"/>
      <c r="D8" s="700"/>
      <c r="E8" s="700"/>
      <c r="F8" s="700"/>
      <c r="G8" s="701"/>
    </row>
    <row r="9" spans="1:7">
      <c r="A9" s="672" t="s">
        <v>676</v>
      </c>
      <c r="B9" s="672"/>
      <c r="C9" s="672"/>
      <c r="D9" s="672"/>
      <c r="E9" s="672"/>
      <c r="F9" s="672"/>
      <c r="G9" s="673"/>
    </row>
    <row r="10" spans="1:7">
      <c r="A10" s="17" t="s">
        <v>677</v>
      </c>
      <c r="B10" s="699" t="str">
        <f>IF(ROOTCAUSE1=0," ",ROOTCAUSE1)</f>
        <v/>
      </c>
      <c r="C10" s="700"/>
      <c r="D10" s="700"/>
      <c r="E10" s="700"/>
      <c r="F10" s="700"/>
      <c r="G10" s="701"/>
    </row>
    <row r="11" spans="1:7">
      <c r="A11" s="17" t="s">
        <v>678</v>
      </c>
      <c r="B11" s="699" t="str">
        <f>IF(CORRECTION1=0," ",CORRECTION1)</f>
        <v/>
      </c>
      <c r="C11" s="700"/>
      <c r="D11" s="700"/>
      <c r="E11" s="700"/>
      <c r="F11" s="700"/>
      <c r="G11" s="701"/>
    </row>
    <row r="12" spans="1:7" ht="36" customHeight="1">
      <c r="A12" s="17" t="s">
        <v>679</v>
      </c>
      <c r="B12" s="699" t="str">
        <f>IF(CORRECTIVEACTION1=0," ",CORRECTIVEACTION1)</f>
        <v/>
      </c>
      <c r="C12" s="700"/>
      <c r="D12" s="700"/>
      <c r="E12" s="700"/>
      <c r="F12" s="700"/>
      <c r="G12" s="701"/>
    </row>
    <row r="13" spans="1:7">
      <c r="A13" s="661" t="s">
        <v>680</v>
      </c>
      <c r="B13" s="988" t="str">
        <f>IF(CARDATE1=0," ",CARDATE1)</f>
        <v/>
      </c>
      <c r="C13" s="989"/>
      <c r="D13" s="989"/>
      <c r="E13" s="989"/>
      <c r="F13" s="989"/>
      <c r="G13" s="990"/>
    </row>
    <row r="14" spans="1:7">
      <c r="A14" s="662"/>
      <c r="B14" s="699"/>
      <c r="C14" s="700"/>
      <c r="D14" s="700"/>
      <c r="E14" s="700"/>
      <c r="F14" s="700"/>
      <c r="G14" s="701"/>
    </row>
    <row r="15" spans="1:7">
      <c r="A15" s="671" t="s">
        <v>681</v>
      </c>
      <c r="B15" s="672"/>
      <c r="C15" s="672"/>
      <c r="D15" s="672"/>
      <c r="E15" s="672"/>
      <c r="F15" s="672"/>
      <c r="G15" s="673"/>
    </row>
    <row r="16" spans="1:7">
      <c r="A16" s="17" t="s">
        <v>682</v>
      </c>
      <c r="B16" s="991" t="s">
        <v>683</v>
      </c>
      <c r="C16" s="991"/>
      <c r="D16" s="991"/>
      <c r="E16" s="991"/>
      <c r="F16" s="991"/>
      <c r="G16" s="991"/>
    </row>
    <row r="17" spans="1:7">
      <c r="A17" s="17" t="s">
        <v>684</v>
      </c>
      <c r="B17" s="991" t="str">
        <f>IF(AUDITOR1=0," ",AUDITOR1)</f>
        <v/>
      </c>
      <c r="C17" s="991"/>
      <c r="D17" s="17" t="s">
        <v>685</v>
      </c>
      <c r="E17" s="991" t="str">
        <f>IF(ROLE1=0,"  ",ROLE1)</f>
        <v/>
      </c>
      <c r="F17" s="991"/>
      <c r="G17" s="991"/>
    </row>
    <row r="18" spans="1:7" ht="53.25" customHeight="1">
      <c r="A18" s="992" t="s">
        <v>686</v>
      </c>
      <c r="B18" s="993"/>
      <c r="C18" s="993"/>
      <c r="D18" s="993"/>
      <c r="E18" s="993"/>
      <c r="F18" s="993"/>
      <c r="G18" s="994"/>
    </row>
    <row r="19" spans="1:7">
      <c r="A19" s="7" t="s">
        <v>687</v>
      </c>
      <c r="B19" s="871" t="str">
        <f>IF(RN=0," ",RN)</f>
        <v/>
      </c>
      <c r="C19" s="871"/>
      <c r="D19" s="7" t="s">
        <v>302</v>
      </c>
      <c r="E19" s="995" t="str">
        <f>(B13)</f>
        <v/>
      </c>
      <c r="F19" s="216"/>
      <c r="G19" s="217"/>
    </row>
    <row r="20" spans="1:7">
      <c r="A20" s="3" t="s">
        <v>688</v>
      </c>
    </row>
  </sheetData>
  <sheetProtection selectLockedCells="1" selectUnlockedCells="1"/>
  <mergeCells count="22">
    <mergeCell ref="B16:G16"/>
    <mergeCell ref="B17:C17"/>
    <mergeCell ref="E17:G17"/>
    <mergeCell ref="A18:G18"/>
    <mergeCell ref="B19:C19"/>
    <mergeCell ref="E19:G19"/>
    <mergeCell ref="B11:G11"/>
    <mergeCell ref="B12:G12"/>
    <mergeCell ref="B13:G13"/>
    <mergeCell ref="B14:G14"/>
    <mergeCell ref="A15:G15"/>
    <mergeCell ref="A13:A14"/>
    <mergeCell ref="B6:G6"/>
    <mergeCell ref="B7:G7"/>
    <mergeCell ref="B8:G8"/>
    <mergeCell ref="A9:G9"/>
    <mergeCell ref="B10:G10"/>
    <mergeCell ref="A1:G1"/>
    <mergeCell ref="B2:G2"/>
    <mergeCell ref="B3:G3"/>
    <mergeCell ref="B4:G4"/>
    <mergeCell ref="B5:G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4273" r:id="rId3" name="Check Box 1">
              <controlPr defaultSize="0" autoPict="0">
                <anchor moveWithCells="1">
                  <from>
                    <xdr:col>3</xdr:col>
                    <xdr:colOff>152400</xdr:colOff>
                    <xdr:row>16</xdr:row>
                    <xdr:rowOff>114300</xdr:rowOff>
                  </from>
                  <to>
                    <xdr:col>3</xdr:col>
                    <xdr:colOff>361950</xdr:colOff>
                    <xdr:row>17</xdr:row>
                    <xdr:rowOff>457200</xdr:rowOff>
                  </to>
                </anchor>
              </controlPr>
            </control>
          </mc:Choice>
        </mc:AlternateContent>
        <mc:AlternateContent xmlns:mc="http://schemas.openxmlformats.org/markup-compatibility/2006">
          <mc:Choice Requires="x14">
            <control shapeId="54274" r:id="rId4" name="Check Box 2">
              <controlPr defaultSize="0" autoPict="0">
                <anchor moveWithCells="1">
                  <from>
                    <xdr:col>4</xdr:col>
                    <xdr:colOff>190500</xdr:colOff>
                    <xdr:row>16</xdr:row>
                    <xdr:rowOff>114300</xdr:rowOff>
                  </from>
                  <to>
                    <xdr:col>4</xdr:col>
                    <xdr:colOff>495300</xdr:colOff>
                    <xdr:row>17</xdr:row>
                    <xdr:rowOff>466725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I25"/>
  <sheetViews>
    <sheetView showGridLines="0" zoomScale="85" zoomScaleNormal="85" workbookViewId="0">
      <selection activeCell="F26" sqref="F26"/>
    </sheetView>
  </sheetViews>
  <sheetFormatPr defaultColWidth="11" defaultRowHeight="15"/>
  <cols>
    <col min="1" max="1" width="22.125" style="12" customWidth="1"/>
    <col min="2" max="2" width="6" style="12" customWidth="1"/>
    <col min="3" max="3" width="2" style="12" customWidth="1"/>
    <col min="4" max="4" width="10.625" style="12" customWidth="1"/>
    <col min="5" max="5" width="3.625" style="12" customWidth="1"/>
    <col min="6" max="6" width="51.875" style="12" customWidth="1"/>
    <col min="7" max="7" width="11" style="12"/>
    <col min="8" max="8" width="15.625" style="12" customWidth="1"/>
    <col min="9" max="9" width="21.5" style="12" customWidth="1"/>
    <col min="10" max="16384" width="11" style="12"/>
  </cols>
  <sheetData>
    <row r="1" spans="1:9" ht="96.75" customHeight="1">
      <c r="A1" s="996" t="s">
        <v>42</v>
      </c>
      <c r="B1" s="996"/>
      <c r="C1" s="996"/>
      <c r="D1" s="996"/>
      <c r="E1" s="996"/>
      <c r="F1" s="996"/>
      <c r="H1" s="13" t="s">
        <v>689</v>
      </c>
      <c r="I1" s="14"/>
    </row>
    <row r="2" spans="1:9" ht="21.75" customHeight="1">
      <c r="A2" s="997" t="s">
        <v>690</v>
      </c>
      <c r="B2" s="997"/>
      <c r="C2" s="996" t="s">
        <v>484</v>
      </c>
      <c r="D2" s="996"/>
      <c r="E2" s="996"/>
      <c r="F2" s="996"/>
    </row>
    <row r="3" spans="1:9">
      <c r="A3" s="997"/>
      <c r="B3" s="997"/>
      <c r="C3" s="997"/>
      <c r="D3" s="997"/>
      <c r="E3" s="997"/>
      <c r="F3" s="997"/>
    </row>
    <row r="4" spans="1:9" ht="22.5" customHeight="1">
      <c r="A4" s="1007" t="str">
        <f>IF(ORGN=0," ",ORGN)</f>
        <v/>
      </c>
      <c r="B4" s="1007"/>
      <c r="C4" s="1007"/>
      <c r="D4" s="1007"/>
      <c r="E4" s="1007"/>
      <c r="F4" s="1007"/>
    </row>
    <row r="5" spans="1:9" ht="28.5" customHeight="1">
      <c r="A5" s="1007"/>
      <c r="B5" s="1007"/>
      <c r="C5" s="1007"/>
      <c r="D5" s="1007"/>
      <c r="E5" s="1007"/>
      <c r="F5" s="1007"/>
    </row>
    <row r="6" spans="1:9" ht="39" customHeight="1">
      <c r="A6" s="997" t="str">
        <f>IF(ORGADD=0," ",ORGADD)</f>
        <v/>
      </c>
      <c r="B6" s="997"/>
      <c r="C6" s="997"/>
      <c r="D6" s="997"/>
      <c r="E6" s="997"/>
      <c r="F6" s="997"/>
    </row>
    <row r="7" spans="1:9">
      <c r="A7" s="997" t="s">
        <v>691</v>
      </c>
      <c r="B7" s="997"/>
      <c r="C7" s="997"/>
      <c r="D7" s="997"/>
      <c r="E7" s="997"/>
      <c r="F7" s="997"/>
    </row>
    <row r="8" spans="1:9">
      <c r="A8" s="997"/>
      <c r="B8" s="997"/>
      <c r="C8" s="997"/>
      <c r="D8" s="997"/>
      <c r="E8" s="997"/>
      <c r="F8" s="997"/>
    </row>
    <row r="9" spans="1:9">
      <c r="A9" s="996"/>
      <c r="B9" s="996"/>
      <c r="C9" s="996"/>
      <c r="D9" s="996"/>
      <c r="E9" s="996"/>
      <c r="F9" s="996"/>
    </row>
    <row r="10" spans="1:9">
      <c r="A10" s="996"/>
      <c r="B10" s="996"/>
      <c r="C10" s="996"/>
      <c r="D10" s="996"/>
      <c r="E10" s="996"/>
      <c r="F10" s="996"/>
    </row>
    <row r="11" spans="1:9">
      <c r="A11" s="997" t="s">
        <v>692</v>
      </c>
      <c r="B11" s="997"/>
      <c r="C11" s="997"/>
      <c r="D11" s="997"/>
      <c r="E11" s="997"/>
      <c r="F11" s="997"/>
    </row>
    <row r="12" spans="1:9">
      <c r="A12" s="997"/>
      <c r="B12" s="997"/>
      <c r="C12" s="997"/>
      <c r="D12" s="997"/>
      <c r="E12" s="997"/>
      <c r="F12" s="997"/>
    </row>
    <row r="13" spans="1:9" ht="57" customHeight="1">
      <c r="A13" s="996" t="str">
        <f>IF(SCOPE=0," ",SCOPE)</f>
        <v/>
      </c>
      <c r="B13" s="996"/>
      <c r="C13" s="996"/>
      <c r="D13" s="996"/>
      <c r="E13" s="996"/>
      <c r="F13" s="996"/>
    </row>
    <row r="14" spans="1:9" ht="1.5" customHeight="1">
      <c r="A14" s="997"/>
      <c r="B14" s="997"/>
      <c r="C14" s="15"/>
      <c r="D14" s="998"/>
      <c r="E14" s="998"/>
      <c r="F14" s="998"/>
    </row>
    <row r="15" spans="1:9" ht="19.5" hidden="1" customHeight="1">
      <c r="A15" s="997"/>
      <c r="B15" s="997"/>
      <c r="C15" s="15"/>
      <c r="D15" s="998"/>
      <c r="E15" s="998"/>
      <c r="F15" s="998"/>
    </row>
    <row r="16" spans="1:9" ht="19.5" hidden="1" customHeight="1">
      <c r="A16" s="997"/>
      <c r="B16" s="997"/>
      <c r="C16" s="15"/>
      <c r="D16" s="998"/>
      <c r="E16" s="998"/>
      <c r="F16" s="998"/>
    </row>
    <row r="17" spans="1:7" ht="19.5" hidden="1" customHeight="1">
      <c r="A17" s="997"/>
      <c r="B17" s="997"/>
      <c r="C17" s="15"/>
      <c r="D17" s="998"/>
      <c r="E17" s="998"/>
      <c r="F17" s="998"/>
    </row>
    <row r="18" spans="1:7" hidden="1">
      <c r="A18" s="997"/>
      <c r="B18" s="997"/>
      <c r="C18" s="997"/>
      <c r="D18" s="997"/>
      <c r="E18" s="997"/>
      <c r="F18" s="997"/>
    </row>
    <row r="19" spans="1:7" ht="33.75" customHeight="1">
      <c r="A19" s="1005" t="s">
        <v>693</v>
      </c>
      <c r="B19" s="862" t="s">
        <v>694</v>
      </c>
      <c r="C19" s="863"/>
      <c r="D19" s="864"/>
      <c r="E19" s="198" t="str">
        <f>IF(CONTACTPERS=0," ",CONTACTPERS)</f>
        <v/>
      </c>
      <c r="F19" s="199"/>
      <c r="G19" s="200"/>
    </row>
    <row r="20" spans="1:7" ht="31.5" customHeight="1">
      <c r="A20" s="1006"/>
      <c r="B20" s="862" t="s">
        <v>695</v>
      </c>
      <c r="C20" s="863"/>
      <c r="D20" s="864"/>
      <c r="E20" s="198" t="str">
        <f>IF(AUDITOR1=0," ",AUDITOR1)</f>
        <v/>
      </c>
      <c r="F20" s="199"/>
      <c r="G20" s="200"/>
    </row>
    <row r="21" spans="1:7" ht="65.25" customHeight="1">
      <c r="A21" s="198" t="s">
        <v>696</v>
      </c>
      <c r="B21" s="199"/>
      <c r="C21" s="199"/>
      <c r="D21" s="199"/>
      <c r="E21" s="199"/>
      <c r="F21" s="199"/>
      <c r="G21" s="200"/>
    </row>
    <row r="23" spans="1:7">
      <c r="A23" s="16" t="s">
        <v>697</v>
      </c>
      <c r="B23" s="999"/>
      <c r="C23" s="1000"/>
      <c r="D23" s="1001"/>
    </row>
    <row r="24" spans="1:7">
      <c r="A24" s="16" t="s">
        <v>698</v>
      </c>
      <c r="B24" s="1002"/>
      <c r="C24" s="1003"/>
      <c r="D24" s="1004"/>
    </row>
    <row r="25" spans="1:7">
      <c r="A25" s="12" t="s">
        <v>699</v>
      </c>
    </row>
  </sheetData>
  <sheetProtection selectLockedCells="1"/>
  <mergeCells count="30">
    <mergeCell ref="B23:D23"/>
    <mergeCell ref="B24:D24"/>
    <mergeCell ref="A19:A20"/>
    <mergeCell ref="A4:F5"/>
    <mergeCell ref="B19:D19"/>
    <mergeCell ref="E19:G19"/>
    <mergeCell ref="B20:D20"/>
    <mergeCell ref="E20:G20"/>
    <mergeCell ref="A21:G21"/>
    <mergeCell ref="A16:B16"/>
    <mergeCell ref="D16:F16"/>
    <mergeCell ref="A17:B17"/>
    <mergeCell ref="D17:F17"/>
    <mergeCell ref="A18:F18"/>
    <mergeCell ref="A12:F12"/>
    <mergeCell ref="A13:F13"/>
    <mergeCell ref="A14:B14"/>
    <mergeCell ref="D14:F14"/>
    <mergeCell ref="A15:B15"/>
    <mergeCell ref="D15:F15"/>
    <mergeCell ref="A7:F7"/>
    <mergeCell ref="A8:F8"/>
    <mergeCell ref="A9:F9"/>
    <mergeCell ref="A10:F10"/>
    <mergeCell ref="A11:F11"/>
    <mergeCell ref="A1:F1"/>
    <mergeCell ref="A2:B2"/>
    <mergeCell ref="C2:F2"/>
    <mergeCell ref="A3:F3"/>
    <mergeCell ref="A6:F6"/>
  </mergeCells>
  <pageMargins left="0.55118110236220497" right="0.86614173228346403" top="0.74803149606299202" bottom="0.74803149606299202" header="0.31496062992126" footer="0.31496062992126"/>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'F03 App Rev &amp; F03-01 Aud Pln'!$B$8:$G$8</xm:f>
          </x14:formula1>
          <xm:sqref>I1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
  <sheetViews>
    <sheetView workbookViewId="0"/>
  </sheetViews>
  <sheetFormatPr defaultColWidth="9" defaultRowHeight="15.7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
  <sheetViews>
    <sheetView workbookViewId="0"/>
  </sheetViews>
  <sheetFormatPr defaultColWidth="9" defaultRowHeight="15.7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ColWidth="9" defaultRowHeight="15.7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workbookViewId="0">
      <selection activeCell="M11" sqref="M11"/>
    </sheetView>
  </sheetViews>
  <sheetFormatPr defaultColWidth="9" defaultRowHeight="15.7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
  <sheetViews>
    <sheetView workbookViewId="0"/>
  </sheetViews>
  <sheetFormatPr defaultColWidth="9" defaultRowHeight="15.7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
  <sheetViews>
    <sheetView workbookViewId="0"/>
  </sheetViews>
  <sheetFormatPr defaultColWidth="9" defaultRowHeight="15.7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
  <sheetViews>
    <sheetView workbookViewId="0"/>
  </sheetViews>
  <sheetFormatPr defaultColWidth="9" defaultRowHeight="15.7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A80"/>
  <sheetViews>
    <sheetView topLeftCell="A9" workbookViewId="0">
      <selection activeCell="N15" sqref="N15"/>
    </sheetView>
  </sheetViews>
  <sheetFormatPr defaultColWidth="8.625" defaultRowHeight="15"/>
  <cols>
    <col min="1" max="1" width="8.625" style="6"/>
    <col min="2" max="2" width="18.125" style="6" customWidth="1"/>
    <col min="3" max="9" width="8.625" style="6"/>
    <col min="10" max="10" width="14.5" style="6" customWidth="1"/>
    <col min="11" max="13" width="8.625" style="3"/>
    <col min="14" max="14" width="17.625" style="3" customWidth="1"/>
    <col min="15" max="26" width="8.625" style="3"/>
    <col min="27" max="27" width="25.125" style="3" customWidth="1"/>
    <col min="28" max="16384" width="8.625" style="3"/>
  </cols>
  <sheetData>
    <row r="1" spans="1:27">
      <c r="A1" s="871"/>
      <c r="B1" s="871"/>
      <c r="C1" s="871"/>
      <c r="D1" s="871"/>
      <c r="E1" s="871"/>
      <c r="F1" s="872" t="s">
        <v>581</v>
      </c>
      <c r="G1" s="872"/>
      <c r="H1" s="872"/>
      <c r="I1" s="872"/>
      <c r="J1" s="872"/>
      <c r="AA1" s="8" t="s">
        <v>384</v>
      </c>
    </row>
    <row r="2" spans="1:27">
      <c r="A2" s="871"/>
      <c r="B2" s="871"/>
      <c r="C2" s="871"/>
      <c r="D2" s="871"/>
      <c r="E2" s="871"/>
      <c r="F2" s="872"/>
      <c r="G2" s="872"/>
      <c r="H2" s="872"/>
      <c r="I2" s="872"/>
      <c r="J2" s="872"/>
      <c r="AA2" s="8" t="s">
        <v>582</v>
      </c>
    </row>
    <row r="3" spans="1:27">
      <c r="A3" s="871"/>
      <c r="B3" s="871"/>
      <c r="C3" s="871"/>
      <c r="D3" s="871"/>
      <c r="E3" s="871"/>
      <c r="F3" s="872"/>
      <c r="G3" s="872"/>
      <c r="H3" s="872"/>
      <c r="I3" s="872"/>
      <c r="J3" s="872"/>
      <c r="AA3" s="8" t="s">
        <v>583</v>
      </c>
    </row>
    <row r="4" spans="1:27">
      <c r="A4" s="871"/>
      <c r="B4" s="871"/>
      <c r="C4" s="871"/>
      <c r="D4" s="871"/>
      <c r="E4" s="871"/>
      <c r="F4" s="872"/>
      <c r="G4" s="872"/>
      <c r="H4" s="872"/>
      <c r="I4" s="872"/>
      <c r="J4" s="872"/>
      <c r="AA4" s="8" t="s">
        <v>584</v>
      </c>
    </row>
    <row r="5" spans="1:27">
      <c r="A5" s="710" t="s">
        <v>310</v>
      </c>
      <c r="B5" s="854"/>
      <c r="C5" s="854"/>
      <c r="D5" s="854"/>
      <c r="E5" s="711"/>
      <c r="F5" s="1008" t="str">
        <f>IF(ORGN=0," ",ORGN)</f>
        <v xml:space="preserve"> </v>
      </c>
      <c r="G5" s="1009"/>
      <c r="H5" s="1009"/>
      <c r="I5" s="1009"/>
      <c r="J5" s="1010"/>
      <c r="AA5" s="8" t="s">
        <v>585</v>
      </c>
    </row>
    <row r="6" spans="1:27">
      <c r="A6" s="710" t="s">
        <v>312</v>
      </c>
      <c r="B6" s="854"/>
      <c r="C6" s="854"/>
      <c r="D6" s="854"/>
      <c r="E6" s="711"/>
      <c r="F6" s="1008" t="str">
        <f>IF(STANDARD=0," ",STANDARD)</f>
        <v xml:space="preserve"> </v>
      </c>
      <c r="G6" s="1009"/>
      <c r="H6" s="1009"/>
      <c r="I6" s="1009"/>
      <c r="J6" s="1010"/>
    </row>
    <row r="7" spans="1:27">
      <c r="A7" s="710" t="s">
        <v>586</v>
      </c>
      <c r="B7" s="854"/>
      <c r="C7" s="854"/>
      <c r="D7" s="854"/>
      <c r="E7" s="711"/>
      <c r="F7" s="1008" t="s">
        <v>384</v>
      </c>
      <c r="G7" s="1009"/>
      <c r="H7" s="1009"/>
      <c r="I7" s="1009"/>
      <c r="J7" s="1010"/>
    </row>
    <row r="8" spans="1:27">
      <c r="A8" s="710" t="s">
        <v>320</v>
      </c>
      <c r="B8" s="854"/>
      <c r="C8" s="854"/>
      <c r="D8" s="854"/>
      <c r="E8" s="711"/>
      <c r="F8" s="1008" t="str">
        <f>IF(MOA=0," ",MOA)</f>
        <v xml:space="preserve"> </v>
      </c>
      <c r="G8" s="1009"/>
      <c r="H8" s="1009"/>
      <c r="I8" s="1009"/>
      <c r="J8" s="1010"/>
    </row>
    <row r="9" spans="1:27">
      <c r="A9" s="710" t="s">
        <v>321</v>
      </c>
      <c r="B9" s="854"/>
      <c r="C9" s="854"/>
      <c r="D9" s="854"/>
      <c r="E9" s="711"/>
      <c r="F9" s="1008" t="str">
        <f>IF(OML=0," ",OML)</f>
        <v xml:space="preserve"> </v>
      </c>
      <c r="G9" s="1009"/>
      <c r="H9" s="1009"/>
      <c r="I9" s="1009"/>
      <c r="J9" s="1010"/>
    </row>
    <row r="10" spans="1:27">
      <c r="A10" s="855" t="s">
        <v>587</v>
      </c>
      <c r="B10" s="855"/>
      <c r="C10" s="855"/>
      <c r="D10" s="855"/>
      <c r="E10" s="855"/>
      <c r="F10" s="855"/>
      <c r="G10" s="855" t="s">
        <v>588</v>
      </c>
      <c r="H10" s="855"/>
      <c r="I10" s="855"/>
      <c r="J10" s="855"/>
    </row>
    <row r="11" spans="1:27">
      <c r="A11" s="856" t="s">
        <v>589</v>
      </c>
      <c r="B11" s="857"/>
      <c r="C11" s="857"/>
      <c r="D11" s="857"/>
      <c r="E11" s="857"/>
      <c r="F11" s="857"/>
      <c r="G11" s="857"/>
      <c r="H11" s="857"/>
      <c r="I11" s="857"/>
      <c r="J11" s="858"/>
    </row>
    <row r="12" spans="1:27">
      <c r="A12" s="1015" t="s">
        <v>700</v>
      </c>
      <c r="B12" s="1016"/>
      <c r="C12" s="1016"/>
      <c r="D12" s="1016"/>
      <c r="E12" s="1016"/>
      <c r="F12" s="1016"/>
      <c r="G12" s="1016"/>
      <c r="H12" s="1016"/>
      <c r="I12" s="1016"/>
      <c r="J12" s="1017"/>
    </row>
    <row r="13" spans="1:27">
      <c r="A13" s="1018"/>
      <c r="B13" s="1019"/>
      <c r="C13" s="1019"/>
      <c r="D13" s="1019"/>
      <c r="E13" s="1019"/>
      <c r="F13" s="1019"/>
      <c r="G13" s="1019"/>
      <c r="H13" s="1019"/>
      <c r="I13" s="1019"/>
      <c r="J13" s="1020"/>
    </row>
    <row r="14" spans="1:27">
      <c r="A14" s="204" t="s">
        <v>701</v>
      </c>
      <c r="B14" s="205"/>
      <c r="C14" s="205"/>
      <c r="D14" s="205"/>
      <c r="E14" s="205"/>
      <c r="F14" s="206"/>
      <c r="G14" s="201" t="s">
        <v>702</v>
      </c>
      <c r="H14" s="202"/>
      <c r="I14" s="202"/>
      <c r="J14" s="203"/>
    </row>
    <row r="15" spans="1:27" ht="46.5" customHeight="1">
      <c r="A15" s="971" t="s">
        <v>1093</v>
      </c>
      <c r="B15" s="1011"/>
      <c r="C15" s="1011"/>
      <c r="D15" s="1011"/>
      <c r="E15" s="1011"/>
      <c r="F15" s="972"/>
      <c r="G15" s="862"/>
      <c r="H15" s="863"/>
      <c r="I15" s="863"/>
      <c r="J15" s="864"/>
    </row>
    <row r="16" spans="1:27" ht="37.5" customHeight="1">
      <c r="A16" s="218" t="s">
        <v>703</v>
      </c>
      <c r="B16" s="219"/>
      <c r="C16" s="219"/>
      <c r="D16" s="219"/>
      <c r="E16" s="219"/>
      <c r="F16" s="220"/>
      <c r="G16" s="4" t="s">
        <v>472</v>
      </c>
      <c r="H16" s="197" t="str">
        <f>IF(AUDITOR1=0," ",AUDITOR1)</f>
        <v xml:space="preserve"> </v>
      </c>
      <c r="I16" s="197"/>
      <c r="J16" s="197"/>
    </row>
    <row r="17" spans="1:27">
      <c r="A17" s="221"/>
      <c r="B17" s="222"/>
      <c r="C17" s="222"/>
      <c r="D17" s="222"/>
      <c r="E17" s="222"/>
      <c r="F17" s="223"/>
      <c r="G17" s="4" t="s">
        <v>472</v>
      </c>
      <c r="H17" s="197"/>
      <c r="I17" s="197"/>
      <c r="J17" s="197"/>
    </row>
    <row r="18" spans="1:27">
      <c r="A18" s="224"/>
      <c r="B18" s="225"/>
      <c r="C18" s="225"/>
      <c r="D18" s="225"/>
      <c r="E18" s="225"/>
      <c r="F18" s="226"/>
      <c r="G18" s="4" t="s">
        <v>472</v>
      </c>
      <c r="H18" s="197"/>
      <c r="I18" s="197"/>
      <c r="J18" s="197"/>
    </row>
    <row r="19" spans="1:27" ht="33" customHeight="1">
      <c r="A19" s="204" t="s">
        <v>704</v>
      </c>
      <c r="B19" s="205"/>
      <c r="C19" s="205"/>
      <c r="D19" s="205"/>
      <c r="E19" s="205"/>
      <c r="F19" s="206"/>
      <c r="G19" s="4" t="s">
        <v>472</v>
      </c>
      <c r="H19" s="868" t="str">
        <f>IF(ST2AUDPLAN=0," ",ST2AUDPLAN)</f>
        <v xml:space="preserve"> </v>
      </c>
      <c r="I19" s="197"/>
      <c r="J19" s="197"/>
    </row>
    <row r="20" spans="1:27">
      <c r="A20" s="204" t="s">
        <v>705</v>
      </c>
      <c r="B20" s="205"/>
      <c r="C20" s="205"/>
      <c r="D20" s="205"/>
      <c r="E20" s="205"/>
      <c r="F20" s="206"/>
      <c r="G20" s="868" t="str">
        <f>IF(ST2AUDDATE1=0," ",ST2AUDDATE1)</f>
        <v xml:space="preserve"> </v>
      </c>
      <c r="H20" s="197"/>
      <c r="I20" s="4" t="s">
        <v>376</v>
      </c>
      <c r="J20" s="9" t="str">
        <f>IF(ST2AUDDATE2=0," ",ST2AUDDATE2)</f>
        <v xml:space="preserve"> </v>
      </c>
    </row>
    <row r="21" spans="1:27">
      <c r="A21" s="204" t="s">
        <v>706</v>
      </c>
      <c r="B21" s="205"/>
      <c r="C21" s="205"/>
      <c r="D21" s="205"/>
      <c r="E21" s="205"/>
      <c r="F21" s="206"/>
      <c r="G21" s="201" t="str">
        <f>IF(ST2OBSQTY=0," ",ST2OBSQTY)</f>
        <v xml:space="preserve"> </v>
      </c>
      <c r="H21" s="202"/>
      <c r="I21" s="202"/>
      <c r="J21" s="203"/>
    </row>
    <row r="22" spans="1:27">
      <c r="A22" s="204" t="s">
        <v>707</v>
      </c>
      <c r="B22" s="205"/>
      <c r="C22" s="205"/>
      <c r="D22" s="205"/>
      <c r="E22" s="205"/>
      <c r="F22" s="206"/>
      <c r="G22" s="201" t="str">
        <f>IF(ST2MINNCQTY=0," ",ST2MINNCQTY)</f>
        <v xml:space="preserve"> </v>
      </c>
      <c r="H22" s="202"/>
      <c r="I22" s="202"/>
      <c r="J22" s="203"/>
    </row>
    <row r="23" spans="1:27">
      <c r="A23" s="204" t="s">
        <v>708</v>
      </c>
      <c r="B23" s="205"/>
      <c r="C23" s="205"/>
      <c r="D23" s="205"/>
      <c r="E23" s="205"/>
      <c r="F23" s="206"/>
      <c r="G23" s="201">
        <v>0</v>
      </c>
      <c r="H23" s="202"/>
      <c r="I23" s="202"/>
      <c r="J23" s="203"/>
    </row>
    <row r="24" spans="1:27" ht="67.5" customHeight="1">
      <c r="A24" s="204" t="s">
        <v>709</v>
      </c>
      <c r="B24" s="205"/>
      <c r="C24" s="205"/>
      <c r="D24" s="205"/>
      <c r="E24" s="205"/>
      <c r="F24" s="206"/>
      <c r="G24" s="204" t="s">
        <v>607</v>
      </c>
      <c r="H24" s="205"/>
      <c r="I24" s="205"/>
      <c r="J24" s="206"/>
    </row>
    <row r="25" spans="1:27">
      <c r="A25" s="1015" t="s">
        <v>710</v>
      </c>
      <c r="B25" s="1016"/>
      <c r="C25" s="1016"/>
      <c r="D25" s="1016"/>
      <c r="E25" s="1016"/>
      <c r="F25" s="1016"/>
      <c r="G25" s="1016"/>
      <c r="H25" s="1016"/>
      <c r="I25" s="1016"/>
      <c r="J25" s="1017"/>
    </row>
    <row r="26" spans="1:27">
      <c r="A26" s="1018"/>
      <c r="B26" s="1019"/>
      <c r="C26" s="1019"/>
      <c r="D26" s="1019"/>
      <c r="E26" s="1019"/>
      <c r="F26" s="1019"/>
      <c r="G26" s="1019"/>
      <c r="H26" s="1019"/>
      <c r="I26" s="1019"/>
      <c r="J26" s="1020"/>
    </row>
    <row r="27" spans="1:27" ht="54.75" customHeight="1">
      <c r="A27" s="204" t="s">
        <v>711</v>
      </c>
      <c r="B27" s="205"/>
      <c r="C27" s="205"/>
      <c r="D27" s="205"/>
      <c r="E27" s="205"/>
      <c r="F27" s="206"/>
      <c r="G27" s="201" t="s">
        <v>712</v>
      </c>
      <c r="H27" s="202"/>
      <c r="I27" s="202"/>
      <c r="J27" s="203"/>
    </row>
    <row r="28" spans="1:27" ht="42" customHeight="1">
      <c r="A28" s="204" t="s">
        <v>713</v>
      </c>
      <c r="B28" s="205"/>
      <c r="C28" s="205"/>
      <c r="D28" s="205"/>
      <c r="E28" s="205"/>
      <c r="F28" s="206"/>
      <c r="G28" s="201" t="s">
        <v>712</v>
      </c>
      <c r="H28" s="202"/>
      <c r="I28" s="202"/>
      <c r="J28" s="203"/>
    </row>
    <row r="29" spans="1:27" ht="58.5" customHeight="1">
      <c r="A29" s="204" t="s">
        <v>714</v>
      </c>
      <c r="B29" s="205"/>
      <c r="C29" s="205"/>
      <c r="D29" s="205"/>
      <c r="E29" s="205"/>
      <c r="F29" s="206"/>
      <c r="G29" s="201" t="s">
        <v>712</v>
      </c>
      <c r="H29" s="202"/>
      <c r="I29" s="202"/>
      <c r="J29" s="203"/>
      <c r="AA29" s="5" t="s">
        <v>715</v>
      </c>
    </row>
    <row r="30" spans="1:27" ht="53.25" customHeight="1">
      <c r="A30" s="204" t="s">
        <v>716</v>
      </c>
      <c r="B30" s="205"/>
      <c r="C30" s="205"/>
      <c r="D30" s="205"/>
      <c r="E30" s="205"/>
      <c r="F30" s="206"/>
      <c r="G30" s="201" t="s">
        <v>712</v>
      </c>
      <c r="H30" s="202"/>
      <c r="I30" s="202"/>
      <c r="J30" s="203"/>
      <c r="AA30" s="5" t="s">
        <v>717</v>
      </c>
    </row>
    <row r="31" spans="1:27">
      <c r="A31" s="1012"/>
      <c r="B31" s="1013"/>
      <c r="C31" s="1013"/>
      <c r="D31" s="1013"/>
      <c r="E31" s="1013"/>
      <c r="F31" s="1013"/>
      <c r="G31" s="1013"/>
      <c r="H31" s="1013"/>
      <c r="I31" s="1013"/>
      <c r="J31" s="1014"/>
      <c r="AA31" s="5" t="s">
        <v>718</v>
      </c>
    </row>
    <row r="32" spans="1:27" ht="38.25" customHeight="1">
      <c r="A32" s="204" t="s">
        <v>719</v>
      </c>
      <c r="B32" s="205"/>
      <c r="C32" s="205"/>
      <c r="D32" s="205"/>
      <c r="E32" s="205"/>
      <c r="F32" s="206"/>
      <c r="G32" s="201" t="s">
        <v>712</v>
      </c>
      <c r="H32" s="202"/>
      <c r="I32" s="202"/>
      <c r="J32" s="203"/>
    </row>
    <row r="33" spans="1:10">
      <c r="A33" s="204" t="s">
        <v>720</v>
      </c>
      <c r="B33" s="205"/>
      <c r="C33" s="205"/>
      <c r="D33" s="205"/>
      <c r="E33" s="205"/>
      <c r="F33" s="206"/>
      <c r="G33" s="201" t="s">
        <v>712</v>
      </c>
      <c r="H33" s="202"/>
      <c r="I33" s="202"/>
      <c r="J33" s="203"/>
    </row>
    <row r="34" spans="1:10">
      <c r="A34" s="204" t="s">
        <v>721</v>
      </c>
      <c r="B34" s="205"/>
      <c r="C34" s="205"/>
      <c r="D34" s="205"/>
      <c r="E34" s="205"/>
      <c r="F34" s="206"/>
      <c r="G34" s="201" t="s">
        <v>712</v>
      </c>
      <c r="H34" s="202"/>
      <c r="I34" s="202"/>
      <c r="J34" s="203"/>
    </row>
    <row r="35" spans="1:10" ht="49.5" customHeight="1">
      <c r="A35" s="204" t="s">
        <v>722</v>
      </c>
      <c r="B35" s="205"/>
      <c r="C35" s="205"/>
      <c r="D35" s="205"/>
      <c r="E35" s="205"/>
      <c r="F35" s="206"/>
      <c r="G35" s="201" t="s">
        <v>712</v>
      </c>
      <c r="H35" s="202"/>
      <c r="I35" s="202"/>
      <c r="J35" s="203"/>
    </row>
    <row r="36" spans="1:10" ht="43.5" customHeight="1">
      <c r="A36" s="204" t="s">
        <v>723</v>
      </c>
      <c r="B36" s="205"/>
      <c r="C36" s="205"/>
      <c r="D36" s="205"/>
      <c r="E36" s="205"/>
      <c r="F36" s="206"/>
      <c r="G36" s="201" t="s">
        <v>712</v>
      </c>
      <c r="H36" s="202"/>
      <c r="I36" s="202"/>
      <c r="J36" s="203"/>
    </row>
    <row r="37" spans="1:10" ht="45" customHeight="1">
      <c r="A37" s="204" t="s">
        <v>724</v>
      </c>
      <c r="B37" s="205"/>
      <c r="C37" s="205"/>
      <c r="D37" s="205"/>
      <c r="E37" s="205"/>
      <c r="F37" s="206"/>
      <c r="G37" s="201" t="s">
        <v>712</v>
      </c>
      <c r="H37" s="202"/>
      <c r="I37" s="202"/>
      <c r="J37" s="203"/>
    </row>
    <row r="38" spans="1:10">
      <c r="A38" s="204" t="s">
        <v>725</v>
      </c>
      <c r="B38" s="205"/>
      <c r="C38" s="205"/>
      <c r="D38" s="205"/>
      <c r="E38" s="205"/>
      <c r="F38" s="206"/>
      <c r="G38" s="201" t="s">
        <v>712</v>
      </c>
      <c r="H38" s="202"/>
      <c r="I38" s="202"/>
      <c r="J38" s="203"/>
    </row>
    <row r="39" spans="1:10" ht="52.5" customHeight="1">
      <c r="A39" s="204" t="s">
        <v>726</v>
      </c>
      <c r="B39" s="205"/>
      <c r="C39" s="205"/>
      <c r="D39" s="205"/>
      <c r="E39" s="205"/>
      <c r="F39" s="206"/>
      <c r="G39" s="201" t="s">
        <v>712</v>
      </c>
      <c r="H39" s="202"/>
      <c r="I39" s="202"/>
      <c r="J39" s="203"/>
    </row>
    <row r="40" spans="1:10">
      <c r="A40" s="204" t="s">
        <v>727</v>
      </c>
      <c r="B40" s="205"/>
      <c r="C40" s="205"/>
      <c r="D40" s="205"/>
      <c r="E40" s="205"/>
      <c r="F40" s="206"/>
      <c r="G40" s="201" t="s">
        <v>712</v>
      </c>
      <c r="H40" s="202"/>
      <c r="I40" s="202"/>
      <c r="J40" s="203"/>
    </row>
    <row r="41" spans="1:10">
      <c r="A41" s="204" t="s">
        <v>728</v>
      </c>
      <c r="B41" s="205"/>
      <c r="C41" s="205"/>
      <c r="D41" s="205"/>
      <c r="E41" s="205"/>
      <c r="F41" s="206"/>
      <c r="G41" s="201" t="s">
        <v>712</v>
      </c>
      <c r="H41" s="202"/>
      <c r="I41" s="202"/>
      <c r="J41" s="203"/>
    </row>
    <row r="42" spans="1:10">
      <c r="A42" s="204" t="s">
        <v>729</v>
      </c>
      <c r="B42" s="205"/>
      <c r="C42" s="205"/>
      <c r="D42" s="205"/>
      <c r="E42" s="205"/>
      <c r="F42" s="206"/>
      <c r="G42" s="201">
        <v>0</v>
      </c>
      <c r="H42" s="202"/>
      <c r="I42" s="202"/>
      <c r="J42" s="203"/>
    </row>
    <row r="43" spans="1:10">
      <c r="A43" s="204" t="s">
        <v>730</v>
      </c>
      <c r="B43" s="205"/>
      <c r="C43" s="205"/>
      <c r="D43" s="205"/>
      <c r="E43" s="205"/>
      <c r="F43" s="206"/>
      <c r="G43" s="201">
        <v>0</v>
      </c>
      <c r="H43" s="202"/>
      <c r="I43" s="202"/>
      <c r="J43" s="203"/>
    </row>
    <row r="44" spans="1:10" ht="66" customHeight="1">
      <c r="A44" s="204" t="s">
        <v>731</v>
      </c>
      <c r="B44" s="205"/>
      <c r="C44" s="205"/>
      <c r="D44" s="205"/>
      <c r="E44" s="205"/>
      <c r="F44" s="206"/>
      <c r="G44" s="201">
        <v>0</v>
      </c>
      <c r="H44" s="202"/>
      <c r="I44" s="202"/>
      <c r="J44" s="203"/>
    </row>
    <row r="45" spans="1:10">
      <c r="A45" s="1021" t="s">
        <v>732</v>
      </c>
      <c r="B45" s="1022"/>
      <c r="C45" s="1022"/>
      <c r="D45" s="1022"/>
      <c r="E45" s="1022"/>
      <c r="F45" s="1022"/>
      <c r="G45" s="1022"/>
      <c r="H45" s="1022"/>
      <c r="I45" s="1022"/>
      <c r="J45" s="1023"/>
    </row>
    <row r="46" spans="1:10">
      <c r="A46" s="1024"/>
      <c r="B46" s="1025"/>
      <c r="C46" s="1025"/>
      <c r="D46" s="1025"/>
      <c r="E46" s="1025"/>
      <c r="F46" s="1025"/>
      <c r="G46" s="1025"/>
      <c r="H46" s="1025"/>
      <c r="I46" s="1025"/>
      <c r="J46" s="1026"/>
    </row>
    <row r="47" spans="1:10" ht="41.25" customHeight="1">
      <c r="A47" s="204" t="s">
        <v>733</v>
      </c>
      <c r="B47" s="205"/>
      <c r="C47" s="205"/>
      <c r="D47" s="205"/>
      <c r="E47" s="205"/>
      <c r="F47" s="206"/>
      <c r="G47" s="201" t="s">
        <v>712</v>
      </c>
      <c r="H47" s="202"/>
      <c r="I47" s="202"/>
      <c r="J47" s="203"/>
    </row>
    <row r="48" spans="1:10" ht="42" customHeight="1">
      <c r="A48" s="204" t="s">
        <v>719</v>
      </c>
      <c r="B48" s="205"/>
      <c r="C48" s="205"/>
      <c r="D48" s="205"/>
      <c r="E48" s="205"/>
      <c r="F48" s="206"/>
      <c r="G48" s="201" t="s">
        <v>712</v>
      </c>
      <c r="H48" s="202"/>
      <c r="I48" s="202"/>
      <c r="J48" s="203"/>
    </row>
    <row r="49" spans="1:10">
      <c r="A49" s="204" t="s">
        <v>734</v>
      </c>
      <c r="B49" s="205"/>
      <c r="C49" s="205"/>
      <c r="D49" s="205"/>
      <c r="E49" s="205"/>
      <c r="F49" s="206"/>
      <c r="G49" s="201" t="s">
        <v>712</v>
      </c>
      <c r="H49" s="202"/>
      <c r="I49" s="202"/>
      <c r="J49" s="203"/>
    </row>
    <row r="50" spans="1:10">
      <c r="A50" s="204" t="s">
        <v>721</v>
      </c>
      <c r="B50" s="205"/>
      <c r="C50" s="205"/>
      <c r="D50" s="205"/>
      <c r="E50" s="205"/>
      <c r="F50" s="206"/>
      <c r="G50" s="201" t="s">
        <v>712</v>
      </c>
      <c r="H50" s="202"/>
      <c r="I50" s="202"/>
      <c r="J50" s="203"/>
    </row>
    <row r="51" spans="1:10" ht="39.75" customHeight="1">
      <c r="A51" s="204" t="s">
        <v>735</v>
      </c>
      <c r="B51" s="205"/>
      <c r="C51" s="205"/>
      <c r="D51" s="205"/>
      <c r="E51" s="205"/>
      <c r="F51" s="206"/>
      <c r="G51" s="201" t="s">
        <v>712</v>
      </c>
      <c r="H51" s="202"/>
      <c r="I51" s="202"/>
      <c r="J51" s="203"/>
    </row>
    <row r="52" spans="1:10" ht="45" customHeight="1">
      <c r="A52" s="204" t="s">
        <v>736</v>
      </c>
      <c r="B52" s="205"/>
      <c r="C52" s="205"/>
      <c r="D52" s="205"/>
      <c r="E52" s="205"/>
      <c r="F52" s="206"/>
      <c r="G52" s="201" t="s">
        <v>712</v>
      </c>
      <c r="H52" s="202"/>
      <c r="I52" s="202"/>
      <c r="J52" s="203"/>
    </row>
    <row r="53" spans="1:10">
      <c r="A53" s="204" t="s">
        <v>725</v>
      </c>
      <c r="B53" s="205"/>
      <c r="C53" s="205"/>
      <c r="D53" s="205"/>
      <c r="E53" s="205"/>
      <c r="F53" s="206"/>
      <c r="G53" s="201" t="s">
        <v>712</v>
      </c>
      <c r="H53" s="202"/>
      <c r="I53" s="202"/>
      <c r="J53" s="203"/>
    </row>
    <row r="54" spans="1:10" ht="45" customHeight="1">
      <c r="A54" s="204" t="s">
        <v>737</v>
      </c>
      <c r="B54" s="205"/>
      <c r="C54" s="205"/>
      <c r="D54" s="205"/>
      <c r="E54" s="205"/>
      <c r="F54" s="206"/>
      <c r="G54" s="201" t="s">
        <v>712</v>
      </c>
      <c r="H54" s="202"/>
      <c r="I54" s="202"/>
      <c r="J54" s="203"/>
    </row>
    <row r="55" spans="1:10">
      <c r="A55" s="204" t="s">
        <v>738</v>
      </c>
      <c r="B55" s="205"/>
      <c r="C55" s="205"/>
      <c r="D55" s="205"/>
      <c r="E55" s="205"/>
      <c r="F55" s="206"/>
      <c r="G55" s="201" t="s">
        <v>712</v>
      </c>
      <c r="H55" s="202"/>
      <c r="I55" s="202"/>
      <c r="J55" s="203"/>
    </row>
    <row r="56" spans="1:10">
      <c r="A56" s="204" t="s">
        <v>739</v>
      </c>
      <c r="B56" s="205"/>
      <c r="C56" s="205"/>
      <c r="D56" s="205"/>
      <c r="E56" s="205"/>
      <c r="F56" s="206"/>
      <c r="G56" s="201" t="s">
        <v>712</v>
      </c>
      <c r="H56" s="202"/>
      <c r="I56" s="202"/>
      <c r="J56" s="203"/>
    </row>
    <row r="57" spans="1:10">
      <c r="A57" s="204" t="s">
        <v>740</v>
      </c>
      <c r="B57" s="205"/>
      <c r="C57" s="205"/>
      <c r="D57" s="205"/>
      <c r="E57" s="205"/>
      <c r="F57" s="206"/>
      <c r="G57" s="201" t="s">
        <v>712</v>
      </c>
      <c r="H57" s="202"/>
      <c r="I57" s="202"/>
      <c r="J57" s="203"/>
    </row>
    <row r="58" spans="1:10">
      <c r="A58" s="204" t="s">
        <v>741</v>
      </c>
      <c r="B58" s="205"/>
      <c r="C58" s="205"/>
      <c r="D58" s="205"/>
      <c r="E58" s="205"/>
      <c r="F58" s="206"/>
      <c r="G58" s="201" t="s">
        <v>712</v>
      </c>
      <c r="H58" s="202"/>
      <c r="I58" s="202"/>
      <c r="J58" s="203"/>
    </row>
    <row r="59" spans="1:10">
      <c r="A59" s="204" t="s">
        <v>708</v>
      </c>
      <c r="B59" s="205"/>
      <c r="C59" s="205"/>
      <c r="D59" s="205"/>
      <c r="E59" s="205"/>
      <c r="F59" s="206"/>
      <c r="G59" s="201" t="s">
        <v>712</v>
      </c>
      <c r="H59" s="202"/>
      <c r="I59" s="202"/>
      <c r="J59" s="203"/>
    </row>
    <row r="60" spans="1:10" ht="54" customHeight="1">
      <c r="A60" s="204" t="s">
        <v>606</v>
      </c>
      <c r="B60" s="205"/>
      <c r="C60" s="205"/>
      <c r="D60" s="205"/>
      <c r="E60" s="205"/>
      <c r="F60" s="206"/>
      <c r="G60" s="201" t="s">
        <v>712</v>
      </c>
      <c r="H60" s="202"/>
      <c r="I60" s="202"/>
      <c r="J60" s="203"/>
    </row>
    <row r="61" spans="1:10" ht="35.25" customHeight="1">
      <c r="A61" s="4" t="s">
        <v>608</v>
      </c>
      <c r="B61" s="4" t="str">
        <f>IF(RN=0," ",RN)</f>
        <v xml:space="preserve"> </v>
      </c>
      <c r="C61" s="197" t="s">
        <v>609</v>
      </c>
      <c r="D61" s="197"/>
      <c r="E61" s="197"/>
      <c r="F61" s="197"/>
      <c r="G61" s="197"/>
      <c r="H61" s="197"/>
      <c r="I61" s="197"/>
      <c r="J61" s="197"/>
    </row>
    <row r="62" spans="1:10">
      <c r="A62" s="1027" t="s">
        <v>742</v>
      </c>
      <c r="B62" s="874"/>
      <c r="C62" s="874"/>
      <c r="D62" s="874"/>
      <c r="E62" s="874"/>
      <c r="F62" s="874"/>
      <c r="G62" s="874"/>
      <c r="H62" s="874"/>
      <c r="I62" s="874"/>
      <c r="J62" s="875"/>
    </row>
    <row r="63" spans="1:10">
      <c r="A63" s="876"/>
      <c r="B63" s="877"/>
      <c r="C63" s="877"/>
      <c r="D63" s="877"/>
      <c r="E63" s="877"/>
      <c r="F63" s="877"/>
      <c r="G63" s="877"/>
      <c r="H63" s="877"/>
      <c r="I63" s="877"/>
      <c r="J63" s="878"/>
    </row>
    <row r="64" spans="1:10">
      <c r="A64" s="876"/>
      <c r="B64" s="877"/>
      <c r="C64" s="877"/>
      <c r="D64" s="877"/>
      <c r="E64" s="877"/>
      <c r="F64" s="877"/>
      <c r="G64" s="877"/>
      <c r="H64" s="877"/>
      <c r="I64" s="877"/>
      <c r="J64" s="878"/>
    </row>
    <row r="65" spans="1:10">
      <c r="A65" s="876"/>
      <c r="B65" s="877"/>
      <c r="C65" s="877"/>
      <c r="D65" s="877"/>
      <c r="E65" s="877"/>
      <c r="F65" s="877"/>
      <c r="G65" s="877"/>
      <c r="H65" s="877"/>
      <c r="I65" s="877"/>
      <c r="J65" s="878"/>
    </row>
    <row r="66" spans="1:10">
      <c r="A66" s="876"/>
      <c r="B66" s="877"/>
      <c r="C66" s="877"/>
      <c r="D66" s="877"/>
      <c r="E66" s="877"/>
      <c r="F66" s="877"/>
      <c r="G66" s="877"/>
      <c r="H66" s="877"/>
      <c r="I66" s="877"/>
      <c r="J66" s="878"/>
    </row>
    <row r="67" spans="1:10">
      <c r="A67" s="876"/>
      <c r="B67" s="877"/>
      <c r="C67" s="877"/>
      <c r="D67" s="877"/>
      <c r="E67" s="877"/>
      <c r="F67" s="877"/>
      <c r="G67" s="877"/>
      <c r="H67" s="877"/>
      <c r="I67" s="877"/>
      <c r="J67" s="878"/>
    </row>
    <row r="68" spans="1:10">
      <c r="A68" s="876"/>
      <c r="B68" s="877"/>
      <c r="C68" s="877"/>
      <c r="D68" s="877"/>
      <c r="E68" s="877"/>
      <c r="F68" s="877"/>
      <c r="G68" s="877"/>
      <c r="H68" s="877"/>
      <c r="I68" s="877"/>
      <c r="J68" s="878"/>
    </row>
    <row r="69" spans="1:10">
      <c r="A69" s="876"/>
      <c r="B69" s="877"/>
      <c r="C69" s="877"/>
      <c r="D69" s="877"/>
      <c r="E69" s="877"/>
      <c r="F69" s="877"/>
      <c r="G69" s="877"/>
      <c r="H69" s="877"/>
      <c r="I69" s="877"/>
      <c r="J69" s="878"/>
    </row>
    <row r="70" spans="1:10" ht="48" customHeight="1">
      <c r="A70" s="879"/>
      <c r="B70" s="880"/>
      <c r="C70" s="880"/>
      <c r="D70" s="880"/>
      <c r="E70" s="880"/>
      <c r="F70" s="880"/>
      <c r="G70" s="880"/>
      <c r="H70" s="880"/>
      <c r="I70" s="880"/>
      <c r="J70" s="881"/>
    </row>
    <row r="71" spans="1:10" ht="30">
      <c r="A71" s="10" t="s">
        <v>611</v>
      </c>
      <c r="B71" s="11" t="str">
        <f>IF(RDREV=0," ",RDREV)</f>
        <v xml:space="preserve"> </v>
      </c>
      <c r="C71" s="744"/>
      <c r="D71" s="745"/>
      <c r="E71" s="745"/>
      <c r="F71" s="745"/>
      <c r="G71" s="745"/>
      <c r="H71" s="745"/>
      <c r="I71" s="745"/>
      <c r="J71" s="746"/>
    </row>
    <row r="72" spans="1:10">
      <c r="A72" s="208" t="s">
        <v>743</v>
      </c>
      <c r="B72" s="208"/>
      <c r="C72" s="208"/>
      <c r="D72" s="208"/>
      <c r="E72" s="208"/>
      <c r="F72" s="208"/>
      <c r="G72" s="208"/>
      <c r="H72" s="208"/>
      <c r="I72" s="208"/>
      <c r="J72" s="208"/>
    </row>
    <row r="73" spans="1:10">
      <c r="A73" s="208"/>
      <c r="B73" s="208"/>
      <c r="C73" s="208"/>
      <c r="D73" s="208"/>
      <c r="E73" s="208"/>
      <c r="F73" s="208"/>
      <c r="G73" s="208"/>
      <c r="H73" s="208"/>
      <c r="I73" s="208"/>
      <c r="J73" s="208"/>
    </row>
    <row r="74" spans="1:10">
      <c r="A74" s="208"/>
      <c r="B74" s="208"/>
      <c r="C74" s="208"/>
      <c r="D74" s="208"/>
      <c r="E74" s="208"/>
      <c r="F74" s="208"/>
      <c r="G74" s="208"/>
      <c r="H74" s="208"/>
      <c r="I74" s="208"/>
      <c r="J74" s="208"/>
    </row>
    <row r="75" spans="1:10">
      <c r="A75" s="208"/>
      <c r="B75" s="208"/>
      <c r="C75" s="208"/>
      <c r="D75" s="208"/>
      <c r="E75" s="208"/>
      <c r="F75" s="208"/>
      <c r="G75" s="208"/>
      <c r="H75" s="208"/>
      <c r="I75" s="208"/>
      <c r="J75" s="208"/>
    </row>
    <row r="76" spans="1:10">
      <c r="A76" s="208"/>
      <c r="B76" s="208"/>
      <c r="C76" s="208"/>
      <c r="D76" s="208"/>
      <c r="E76" s="208"/>
      <c r="F76" s="208"/>
      <c r="G76" s="208"/>
      <c r="H76" s="208"/>
      <c r="I76" s="208"/>
      <c r="J76" s="208"/>
    </row>
    <row r="77" spans="1:10">
      <c r="A77" s="208"/>
      <c r="B77" s="208"/>
      <c r="C77" s="208"/>
      <c r="D77" s="208"/>
      <c r="E77" s="208"/>
      <c r="F77" s="208"/>
      <c r="G77" s="208"/>
      <c r="H77" s="208"/>
      <c r="I77" s="208"/>
      <c r="J77" s="208"/>
    </row>
    <row r="78" spans="1:10">
      <c r="A78" s="208"/>
      <c r="B78" s="208"/>
      <c r="C78" s="208"/>
      <c r="D78" s="208"/>
      <c r="E78" s="208"/>
      <c r="F78" s="208"/>
      <c r="G78" s="208"/>
      <c r="H78" s="208"/>
      <c r="I78" s="208"/>
      <c r="J78" s="208"/>
    </row>
    <row r="79" spans="1:10" ht="30">
      <c r="A79" s="10" t="s">
        <v>611</v>
      </c>
      <c r="B79" s="11" t="str">
        <f>IF(RDHOD=0," ",RDHOD)</f>
        <v xml:space="preserve"> </v>
      </c>
      <c r="C79" s="744"/>
      <c r="D79" s="745"/>
      <c r="E79" s="745"/>
      <c r="F79" s="745"/>
      <c r="G79" s="745"/>
      <c r="H79" s="745"/>
      <c r="I79" s="745"/>
      <c r="J79" s="746"/>
    </row>
    <row r="80" spans="1:10">
      <c r="A80" s="869" t="s">
        <v>612</v>
      </c>
      <c r="B80" s="870"/>
      <c r="C80" s="870"/>
      <c r="D80" s="870"/>
      <c r="E80" s="870"/>
      <c r="F80" s="870"/>
      <c r="G80" s="870"/>
      <c r="H80" s="870"/>
      <c r="I80" s="870"/>
      <c r="J80" s="870"/>
    </row>
  </sheetData>
  <mergeCells count="107">
    <mergeCell ref="A59:F59"/>
    <mergeCell ref="G59:J59"/>
    <mergeCell ref="A60:F60"/>
    <mergeCell ref="G60:J60"/>
    <mergeCell ref="C61:J61"/>
    <mergeCell ref="C71:J71"/>
    <mergeCell ref="C79:J79"/>
    <mergeCell ref="A80:J80"/>
    <mergeCell ref="A1:E4"/>
    <mergeCell ref="F1:J4"/>
    <mergeCell ref="A12:J13"/>
    <mergeCell ref="A16:F18"/>
    <mergeCell ref="A25:J26"/>
    <mergeCell ref="A45:J46"/>
    <mergeCell ref="A62:J70"/>
    <mergeCell ref="A72:J78"/>
    <mergeCell ref="A54:F54"/>
    <mergeCell ref="G54:J54"/>
    <mergeCell ref="A55:F55"/>
    <mergeCell ref="G55:J55"/>
    <mergeCell ref="A56:F56"/>
    <mergeCell ref="G56:J56"/>
    <mergeCell ref="A57:F57"/>
    <mergeCell ref="G57:J57"/>
    <mergeCell ref="A58:F58"/>
    <mergeCell ref="G58:J58"/>
    <mergeCell ref="A49:F49"/>
    <mergeCell ref="G49:J49"/>
    <mergeCell ref="A50:F50"/>
    <mergeCell ref="G50:J50"/>
    <mergeCell ref="A51:F51"/>
    <mergeCell ref="G51:J51"/>
    <mergeCell ref="A52:F52"/>
    <mergeCell ref="G52:J52"/>
    <mergeCell ref="A53:F53"/>
    <mergeCell ref="G53:J53"/>
    <mergeCell ref="A42:F42"/>
    <mergeCell ref="G42:J42"/>
    <mergeCell ref="A43:F43"/>
    <mergeCell ref="G43:J43"/>
    <mergeCell ref="A44:F44"/>
    <mergeCell ref="G44:J44"/>
    <mergeCell ref="A47:F47"/>
    <mergeCell ref="G47:J47"/>
    <mergeCell ref="A48:F48"/>
    <mergeCell ref="G48:J48"/>
    <mergeCell ref="A37:F37"/>
    <mergeCell ref="G37:J37"/>
    <mergeCell ref="A38:F38"/>
    <mergeCell ref="G38:J38"/>
    <mergeCell ref="A39:F39"/>
    <mergeCell ref="G39:J39"/>
    <mergeCell ref="A40:F40"/>
    <mergeCell ref="G40:J40"/>
    <mergeCell ref="A41:F41"/>
    <mergeCell ref="G41:J41"/>
    <mergeCell ref="A32:F32"/>
    <mergeCell ref="G32:J32"/>
    <mergeCell ref="A33:F33"/>
    <mergeCell ref="G33:J33"/>
    <mergeCell ref="A34:F34"/>
    <mergeCell ref="G34:J34"/>
    <mergeCell ref="A35:F35"/>
    <mergeCell ref="G35:J35"/>
    <mergeCell ref="A36:F36"/>
    <mergeCell ref="G36:J36"/>
    <mergeCell ref="A27:F27"/>
    <mergeCell ref="G27:J27"/>
    <mergeCell ref="A28:F28"/>
    <mergeCell ref="G28:J28"/>
    <mergeCell ref="A29:F29"/>
    <mergeCell ref="G29:J29"/>
    <mergeCell ref="A30:F30"/>
    <mergeCell ref="G30:J30"/>
    <mergeCell ref="A31:J31"/>
    <mergeCell ref="A20:F20"/>
    <mergeCell ref="G20:H20"/>
    <mergeCell ref="A21:F21"/>
    <mergeCell ref="G21:J21"/>
    <mergeCell ref="A22:F22"/>
    <mergeCell ref="G22:J22"/>
    <mergeCell ref="A23:F23"/>
    <mergeCell ref="G23:J23"/>
    <mergeCell ref="A24:F24"/>
    <mergeCell ref="G24:J24"/>
    <mergeCell ref="A10:F10"/>
    <mergeCell ref="G10:J10"/>
    <mergeCell ref="A11:J11"/>
    <mergeCell ref="A14:F14"/>
    <mergeCell ref="G14:J14"/>
    <mergeCell ref="H16:J16"/>
    <mergeCell ref="H17:J17"/>
    <mergeCell ref="H18:J18"/>
    <mergeCell ref="A19:F19"/>
    <mergeCell ref="H19:J19"/>
    <mergeCell ref="A15:F15"/>
    <mergeCell ref="G15:J15"/>
    <mergeCell ref="A5:E5"/>
    <mergeCell ref="F5:J5"/>
    <mergeCell ref="A6:E6"/>
    <mergeCell ref="F6:J6"/>
    <mergeCell ref="A7:E7"/>
    <mergeCell ref="F7:J7"/>
    <mergeCell ref="A8:E8"/>
    <mergeCell ref="F8:J8"/>
    <mergeCell ref="A9:E9"/>
    <mergeCell ref="F9:J9"/>
  </mergeCells>
  <dataValidations count="2">
    <dataValidation type="list" allowBlank="1" showInputMessage="1" showErrorMessage="1" sqref="F7:J7" xr:uid="{00000000-0002-0000-1600-000000000000}">
      <formula1>$AA$1:$AA$5</formula1>
    </dataValidation>
    <dataValidation type="list" allowBlank="1" showInputMessage="1" showErrorMessage="1" sqref="A31:J31" xr:uid="{00000000-0002-0000-1600-000001000000}">
      <formula1>$AA$29:$AA$31</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24"/>
  <dimension ref="A1:BC85"/>
  <sheetViews>
    <sheetView workbookViewId="0">
      <selection activeCell="K5" sqref="K5"/>
    </sheetView>
  </sheetViews>
  <sheetFormatPr defaultColWidth="8.625" defaultRowHeight="15"/>
  <cols>
    <col min="1" max="1" width="8.625" style="2"/>
    <col min="2" max="2" width="27.125" style="2" customWidth="1"/>
    <col min="3" max="9" width="8.625" style="2"/>
    <col min="10" max="10" width="14.5" style="2" customWidth="1"/>
    <col min="11" max="11" width="24.5" style="3" customWidth="1"/>
    <col min="12" max="13" width="8.625" style="3"/>
    <col min="14" max="14" width="17.625" style="3" customWidth="1"/>
    <col min="15" max="36" width="8.625" style="3"/>
    <col min="37" max="37" width="23.875" style="3" customWidth="1"/>
    <col min="38" max="54" width="8.625" style="3"/>
    <col min="55" max="55" width="21.625" style="3" customWidth="1"/>
    <col min="56" max="16384" width="8.625" style="3"/>
  </cols>
  <sheetData>
    <row r="1" spans="1:55">
      <c r="A1" s="197" t="s">
        <v>744</v>
      </c>
      <c r="B1" s="197"/>
      <c r="C1" s="197"/>
      <c r="D1" s="198"/>
      <c r="E1" s="199"/>
      <c r="F1" s="199"/>
      <c r="G1" s="199"/>
      <c r="H1" s="199"/>
      <c r="I1" s="199"/>
      <c r="J1" s="200"/>
      <c r="AK1" s="5" t="s">
        <v>745</v>
      </c>
      <c r="BC1" s="5" t="s">
        <v>746</v>
      </c>
    </row>
    <row r="2" spans="1:55">
      <c r="A2" s="197" t="s">
        <v>747</v>
      </c>
      <c r="B2" s="197"/>
      <c r="C2" s="197"/>
      <c r="D2" s="198"/>
      <c r="E2" s="199"/>
      <c r="F2" s="199"/>
      <c r="G2" s="199"/>
      <c r="H2" s="199"/>
      <c r="I2" s="199"/>
      <c r="J2" s="200"/>
      <c r="AK2" s="5" t="s">
        <v>748</v>
      </c>
      <c r="BC2" s="5" t="s">
        <v>749</v>
      </c>
    </row>
    <row r="3" spans="1:55">
      <c r="A3" s="197" t="s">
        <v>750</v>
      </c>
      <c r="B3" s="197"/>
      <c r="C3" s="197"/>
      <c r="D3" s="198"/>
      <c r="E3" s="199"/>
      <c r="F3" s="199"/>
      <c r="G3" s="199"/>
      <c r="H3" s="199"/>
      <c r="I3" s="199"/>
      <c r="J3" s="200"/>
      <c r="AK3" s="5" t="s">
        <v>751</v>
      </c>
    </row>
    <row r="4" spans="1:55" ht="14.25" customHeight="1">
      <c r="A4" s="197" t="s">
        <v>752</v>
      </c>
      <c r="B4" s="197"/>
      <c r="C4" s="197"/>
      <c r="D4" s="201"/>
      <c r="E4" s="202"/>
      <c r="F4" s="202"/>
      <c r="G4" s="202"/>
      <c r="H4" s="202"/>
      <c r="I4" s="202"/>
      <c r="J4" s="203"/>
    </row>
    <row r="5" spans="1:55" ht="43.5" customHeight="1">
      <c r="A5" s="197" t="s">
        <v>753</v>
      </c>
      <c r="B5" s="197"/>
      <c r="C5" s="197"/>
      <c r="D5" s="198"/>
      <c r="E5" s="199"/>
      <c r="F5" s="199"/>
      <c r="G5" s="199"/>
      <c r="H5" s="199"/>
      <c r="I5" s="199"/>
      <c r="J5" s="200"/>
    </row>
    <row r="6" spans="1:55" ht="32.25" customHeight="1">
      <c r="A6" s="204" t="s">
        <v>52</v>
      </c>
      <c r="B6" s="205"/>
      <c r="C6" s="206"/>
      <c r="D6" s="198"/>
      <c r="E6" s="199"/>
      <c r="F6" s="199"/>
      <c r="G6" s="199"/>
      <c r="H6" s="199"/>
      <c r="I6" s="199"/>
      <c r="J6" s="200"/>
    </row>
    <row r="7" spans="1:55" ht="55.5" customHeight="1">
      <c r="A7" s="197" t="s">
        <v>754</v>
      </c>
      <c r="B7" s="197"/>
      <c r="C7" s="197"/>
      <c r="D7" s="198"/>
      <c r="E7" s="199"/>
      <c r="F7" s="199"/>
      <c r="G7" s="199"/>
      <c r="H7" s="199"/>
      <c r="I7" s="199"/>
      <c r="J7" s="200"/>
    </row>
    <row r="8" spans="1:55">
      <c r="A8" s="197" t="s">
        <v>755</v>
      </c>
      <c r="B8" s="197"/>
      <c r="C8" s="197"/>
      <c r="D8" s="198"/>
      <c r="E8" s="199"/>
      <c r="F8" s="200"/>
      <c r="G8" s="197" t="s">
        <v>756</v>
      </c>
      <c r="H8" s="197"/>
      <c r="I8" s="198"/>
      <c r="J8" s="200"/>
    </row>
    <row r="9" spans="1:55" ht="15.75">
      <c r="A9" s="197" t="s">
        <v>757</v>
      </c>
      <c r="B9" s="197"/>
      <c r="C9" s="197"/>
      <c r="D9" s="198"/>
      <c r="E9" s="199"/>
      <c r="F9" s="200"/>
      <c r="G9" s="197" t="s">
        <v>758</v>
      </c>
      <c r="H9" s="197"/>
      <c r="I9" s="207"/>
      <c r="J9" s="208"/>
    </row>
    <row r="10" spans="1:55">
      <c r="A10" s="197" t="s">
        <v>759</v>
      </c>
      <c r="B10" s="197"/>
      <c r="C10" s="197"/>
      <c r="D10" s="198"/>
      <c r="E10" s="199"/>
      <c r="F10" s="199"/>
      <c r="G10" s="199"/>
      <c r="H10" s="199"/>
      <c r="I10" s="199"/>
      <c r="J10" s="200"/>
    </row>
    <row r="11" spans="1:55">
      <c r="A11" s="197"/>
      <c r="B11" s="197"/>
      <c r="C11" s="197"/>
      <c r="D11" s="198"/>
      <c r="E11" s="199"/>
      <c r="F11" s="199"/>
      <c r="G11" s="199"/>
      <c r="H11" s="199"/>
      <c r="I11" s="199"/>
      <c r="J11" s="200"/>
    </row>
    <row r="12" spans="1:55" ht="27" customHeight="1">
      <c r="A12" s="204" t="s">
        <v>476</v>
      </c>
      <c r="B12" s="205"/>
      <c r="C12" s="206"/>
      <c r="D12" s="207"/>
      <c r="E12" s="208"/>
      <c r="F12" s="208"/>
      <c r="G12" s="208"/>
      <c r="H12" s="208"/>
      <c r="I12" s="208"/>
      <c r="J12" s="208"/>
    </row>
    <row r="13" spans="1:55">
      <c r="A13" s="197" t="s">
        <v>760</v>
      </c>
      <c r="B13" s="197"/>
      <c r="C13" s="197"/>
      <c r="D13" s="208"/>
      <c r="E13" s="208"/>
      <c r="F13" s="208"/>
      <c r="G13" s="208"/>
      <c r="H13" s="208"/>
      <c r="I13" s="208"/>
      <c r="J13" s="208"/>
    </row>
    <row r="14" spans="1:55">
      <c r="A14" s="197" t="s">
        <v>761</v>
      </c>
      <c r="B14" s="197"/>
      <c r="C14" s="197"/>
      <c r="D14" s="198"/>
      <c r="E14" s="199"/>
      <c r="F14" s="199"/>
      <c r="G14" s="199"/>
      <c r="H14" s="199"/>
      <c r="I14" s="199"/>
      <c r="J14" s="200"/>
    </row>
    <row r="15" spans="1:55">
      <c r="A15" s="197" t="s">
        <v>762</v>
      </c>
      <c r="B15" s="197"/>
      <c r="C15" s="197"/>
      <c r="D15" s="198"/>
      <c r="E15" s="199"/>
      <c r="F15" s="199"/>
      <c r="G15" s="199"/>
      <c r="H15" s="199"/>
      <c r="I15" s="199"/>
      <c r="J15" s="200"/>
    </row>
    <row r="16" spans="1:55" ht="25.5" customHeight="1">
      <c r="A16" s="197" t="s">
        <v>763</v>
      </c>
      <c r="B16" s="197"/>
      <c r="C16" s="197"/>
      <c r="D16" s="209"/>
      <c r="E16" s="208"/>
      <c r="F16" s="208"/>
      <c r="G16" s="208"/>
      <c r="H16" s="208"/>
      <c r="I16" s="208"/>
      <c r="J16" s="208"/>
      <c r="AK16" s="5" t="s">
        <v>355</v>
      </c>
    </row>
    <row r="17" spans="1:37" ht="20.25" customHeight="1">
      <c r="A17" s="204" t="s">
        <v>764</v>
      </c>
      <c r="B17" s="205"/>
      <c r="C17" s="206"/>
      <c r="D17" s="210"/>
      <c r="E17" s="211"/>
      <c r="F17" s="211"/>
      <c r="G17" s="211"/>
      <c r="H17" s="211"/>
      <c r="I17" s="211"/>
      <c r="J17" s="212"/>
      <c r="AK17" s="5"/>
    </row>
    <row r="18" spans="1:37">
      <c r="A18" s="197" t="s">
        <v>765</v>
      </c>
      <c r="B18" s="197"/>
      <c r="C18" s="197"/>
      <c r="D18" s="209"/>
      <c r="E18" s="209"/>
      <c r="F18" s="197" t="s">
        <v>766</v>
      </c>
      <c r="G18" s="197"/>
      <c r="H18" s="209"/>
      <c r="I18" s="209"/>
      <c r="AK18" s="5" t="s">
        <v>358</v>
      </c>
    </row>
    <row r="19" spans="1:37" ht="37.5" customHeight="1">
      <c r="A19" s="197" t="s">
        <v>767</v>
      </c>
      <c r="B19" s="197"/>
      <c r="C19" s="197"/>
      <c r="D19" s="209"/>
      <c r="E19" s="208"/>
      <c r="F19" s="197" t="s">
        <v>768</v>
      </c>
      <c r="G19" s="197"/>
      <c r="H19" s="209"/>
      <c r="I19" s="208"/>
      <c r="AK19" s="5" t="s">
        <v>769</v>
      </c>
    </row>
    <row r="20" spans="1:37">
      <c r="A20" s="197" t="s">
        <v>328</v>
      </c>
      <c r="B20" s="197"/>
      <c r="C20" s="197"/>
      <c r="D20" s="201"/>
      <c r="E20" s="202"/>
      <c r="F20" s="202"/>
      <c r="G20" s="202"/>
      <c r="H20" s="202"/>
      <c r="I20" s="202"/>
      <c r="J20" s="203"/>
      <c r="AK20" s="5" t="s">
        <v>770</v>
      </c>
    </row>
    <row r="21" spans="1:37">
      <c r="A21" s="197" t="s">
        <v>771</v>
      </c>
      <c r="B21" s="197"/>
      <c r="C21" s="197"/>
      <c r="D21" s="210"/>
      <c r="E21" s="211"/>
      <c r="F21" s="211"/>
      <c r="G21" s="211"/>
      <c r="H21" s="211"/>
      <c r="I21" s="211"/>
      <c r="J21" s="212"/>
      <c r="AK21" s="5" t="s">
        <v>772</v>
      </c>
    </row>
    <row r="22" spans="1:37">
      <c r="A22" s="218" t="s">
        <v>773</v>
      </c>
      <c r="B22" s="219"/>
      <c r="C22" s="220"/>
      <c r="D22" s="201"/>
      <c r="E22" s="202"/>
      <c r="F22" s="202"/>
      <c r="G22" s="202"/>
      <c r="H22" s="202"/>
      <c r="I22" s="202"/>
      <c r="J22" s="203"/>
    </row>
    <row r="23" spans="1:37">
      <c r="A23" s="221"/>
      <c r="B23" s="222"/>
      <c r="C23" s="223"/>
      <c r="D23" s="201"/>
      <c r="E23" s="202"/>
      <c r="F23" s="202"/>
      <c r="G23" s="202"/>
      <c r="H23" s="202"/>
      <c r="I23" s="202"/>
      <c r="J23" s="203"/>
    </row>
    <row r="24" spans="1:37">
      <c r="A24" s="221"/>
      <c r="B24" s="222"/>
      <c r="C24" s="223"/>
      <c r="D24" s="201"/>
      <c r="E24" s="202"/>
      <c r="F24" s="202"/>
      <c r="G24" s="202"/>
      <c r="H24" s="202"/>
      <c r="I24" s="202"/>
      <c r="J24" s="203"/>
    </row>
    <row r="25" spans="1:37">
      <c r="A25" s="221"/>
      <c r="B25" s="222"/>
      <c r="C25" s="223"/>
      <c r="D25" s="201"/>
      <c r="E25" s="202"/>
      <c r="F25" s="202"/>
      <c r="G25" s="202"/>
      <c r="H25" s="202"/>
      <c r="I25" s="202"/>
      <c r="J25" s="203"/>
    </row>
    <row r="26" spans="1:37">
      <c r="A26" s="218" t="s">
        <v>774</v>
      </c>
      <c r="B26" s="219"/>
      <c r="C26" s="220"/>
      <c r="D26" s="201"/>
      <c r="E26" s="202"/>
      <c r="F26" s="202"/>
      <c r="G26" s="202"/>
      <c r="H26" s="202"/>
      <c r="I26" s="202"/>
      <c r="J26" s="203"/>
    </row>
    <row r="27" spans="1:37">
      <c r="A27" s="221"/>
      <c r="B27" s="222"/>
      <c r="C27" s="223"/>
      <c r="D27" s="201"/>
      <c r="E27" s="202"/>
      <c r="F27" s="202"/>
      <c r="G27" s="202"/>
      <c r="H27" s="202"/>
      <c r="I27" s="202"/>
      <c r="J27" s="203"/>
    </row>
    <row r="28" spans="1:37">
      <c r="A28" s="221"/>
      <c r="B28" s="222"/>
      <c r="C28" s="223"/>
      <c r="D28" s="201"/>
      <c r="E28" s="202"/>
      <c r="F28" s="202"/>
      <c r="G28" s="202"/>
      <c r="H28" s="202"/>
      <c r="I28" s="202"/>
      <c r="J28" s="203"/>
    </row>
    <row r="29" spans="1:37">
      <c r="A29" s="224"/>
      <c r="B29" s="225"/>
      <c r="C29" s="226"/>
      <c r="D29" s="201"/>
      <c r="E29" s="202"/>
      <c r="F29" s="202"/>
      <c r="G29" s="202"/>
      <c r="H29" s="202"/>
      <c r="I29" s="202"/>
      <c r="J29" s="203"/>
    </row>
    <row r="30" spans="1:37">
      <c r="A30" s="218" t="s">
        <v>775</v>
      </c>
      <c r="B30" s="219"/>
      <c r="C30" s="220"/>
      <c r="D30" s="210" t="str">
        <f>IF(APPRD=0," ",APPRD)</f>
        <v/>
      </c>
      <c r="E30" s="202"/>
      <c r="F30" s="202"/>
      <c r="G30" s="202"/>
      <c r="H30" s="202"/>
      <c r="I30" s="202"/>
      <c r="J30" s="203"/>
    </row>
    <row r="31" spans="1:37">
      <c r="A31" s="221"/>
      <c r="B31" s="222"/>
      <c r="C31" s="223"/>
      <c r="D31" s="210"/>
      <c r="E31" s="202"/>
      <c r="F31" s="202"/>
      <c r="G31" s="202"/>
      <c r="H31" s="202"/>
      <c r="I31" s="202"/>
      <c r="J31" s="203"/>
    </row>
    <row r="32" spans="1:37">
      <c r="A32" s="221"/>
      <c r="B32" s="222"/>
      <c r="C32" s="223"/>
      <c r="D32" s="201"/>
      <c r="E32" s="202"/>
      <c r="F32" s="202"/>
      <c r="G32" s="202"/>
      <c r="H32" s="202"/>
      <c r="I32" s="202"/>
      <c r="J32" s="203"/>
    </row>
    <row r="33" spans="1:10">
      <c r="A33" s="224"/>
      <c r="B33" s="225"/>
      <c r="C33" s="226"/>
      <c r="D33" s="201"/>
      <c r="E33" s="202"/>
      <c r="F33" s="202"/>
      <c r="G33" s="202"/>
      <c r="H33" s="202"/>
      <c r="I33" s="202"/>
      <c r="J33" s="203"/>
    </row>
    <row r="34" spans="1:10">
      <c r="A34" s="218" t="s">
        <v>776</v>
      </c>
      <c r="B34" s="219"/>
      <c r="C34" s="220"/>
      <c r="D34" s="201"/>
      <c r="E34" s="202"/>
      <c r="F34" s="202"/>
      <c r="G34" s="202"/>
      <c r="H34" s="202"/>
      <c r="I34" s="202"/>
      <c r="J34" s="203"/>
    </row>
    <row r="35" spans="1:10">
      <c r="A35" s="224"/>
      <c r="B35" s="225"/>
      <c r="C35" s="226"/>
      <c r="D35" s="201"/>
      <c r="E35" s="202"/>
      <c r="F35" s="202"/>
      <c r="G35" s="202"/>
      <c r="H35" s="202"/>
      <c r="I35" s="202"/>
      <c r="J35" s="203"/>
    </row>
    <row r="36" spans="1:10">
      <c r="A36" s="218" t="s">
        <v>777</v>
      </c>
      <c r="B36" s="219"/>
      <c r="C36" s="220"/>
      <c r="D36" s="201"/>
      <c r="E36" s="202"/>
      <c r="F36" s="202"/>
      <c r="G36" s="202"/>
      <c r="H36" s="202"/>
      <c r="I36" s="202"/>
      <c r="J36" s="203"/>
    </row>
    <row r="37" spans="1:10">
      <c r="A37" s="221"/>
      <c r="B37" s="222"/>
      <c r="C37" s="223"/>
      <c r="D37" s="201"/>
      <c r="E37" s="202"/>
      <c r="F37" s="202"/>
      <c r="G37" s="202"/>
      <c r="H37" s="202"/>
      <c r="I37" s="202"/>
      <c r="J37" s="203"/>
    </row>
    <row r="38" spans="1:10">
      <c r="A38" s="221"/>
      <c r="B38" s="222"/>
      <c r="C38" s="223"/>
      <c r="D38" s="201"/>
      <c r="E38" s="202"/>
      <c r="F38" s="202"/>
      <c r="G38" s="202"/>
      <c r="H38" s="202"/>
      <c r="I38" s="202"/>
      <c r="J38" s="203"/>
    </row>
    <row r="39" spans="1:10">
      <c r="A39" s="224"/>
      <c r="B39" s="225"/>
      <c r="C39" s="226"/>
      <c r="D39" s="201"/>
      <c r="E39" s="202"/>
      <c r="F39" s="202"/>
      <c r="G39" s="202"/>
      <c r="H39" s="202"/>
      <c r="I39" s="202"/>
      <c r="J39" s="203"/>
    </row>
    <row r="40" spans="1:10">
      <c r="A40" s="218" t="s">
        <v>778</v>
      </c>
      <c r="B40" s="219"/>
      <c r="C40" s="220"/>
      <c r="D40" s="201"/>
      <c r="E40" s="202"/>
      <c r="F40" s="202"/>
      <c r="G40" s="202"/>
      <c r="H40" s="202"/>
      <c r="I40" s="202"/>
      <c r="J40" s="203"/>
    </row>
    <row r="41" spans="1:10">
      <c r="A41" s="221"/>
      <c r="B41" s="222"/>
      <c r="C41" s="223"/>
      <c r="D41" s="201"/>
      <c r="E41" s="202"/>
      <c r="F41" s="202"/>
      <c r="G41" s="202"/>
      <c r="H41" s="202"/>
      <c r="I41" s="202"/>
      <c r="J41" s="203"/>
    </row>
    <row r="42" spans="1:10">
      <c r="A42" s="221"/>
      <c r="B42" s="222"/>
      <c r="C42" s="223"/>
      <c r="D42" s="201"/>
      <c r="E42" s="202"/>
      <c r="F42" s="202"/>
      <c r="G42" s="202"/>
      <c r="H42" s="202"/>
      <c r="I42" s="202"/>
      <c r="J42" s="203"/>
    </row>
    <row r="43" spans="1:10">
      <c r="A43" s="224"/>
      <c r="B43" s="225"/>
      <c r="C43" s="226"/>
      <c r="D43" s="201"/>
      <c r="E43" s="202"/>
      <c r="F43" s="202"/>
      <c r="G43" s="202"/>
      <c r="H43" s="202"/>
      <c r="I43" s="202"/>
      <c r="J43" s="203"/>
    </row>
    <row r="44" spans="1:10">
      <c r="A44" s="204" t="s">
        <v>779</v>
      </c>
      <c r="B44" s="205"/>
      <c r="C44" s="206"/>
      <c r="D44" s="213"/>
      <c r="E44" s="214"/>
      <c r="F44" s="214"/>
      <c r="G44" s="214"/>
      <c r="H44" s="214"/>
      <c r="I44" s="214"/>
      <c r="J44" s="215"/>
    </row>
    <row r="45" spans="1:10">
      <c r="A45" s="204" t="s">
        <v>780</v>
      </c>
      <c r="B45" s="205"/>
      <c r="C45" s="206"/>
      <c r="D45" s="209"/>
      <c r="E45" s="208"/>
      <c r="F45" s="208"/>
      <c r="G45" s="4" t="s">
        <v>431</v>
      </c>
      <c r="H45" s="209"/>
      <c r="I45" s="208"/>
      <c r="J45" s="208"/>
    </row>
    <row r="46" spans="1:10">
      <c r="A46" s="204" t="s">
        <v>781</v>
      </c>
      <c r="B46" s="205"/>
      <c r="C46" s="206"/>
      <c r="D46" s="210"/>
      <c r="E46" s="211"/>
      <c r="F46" s="211"/>
      <c r="G46" s="211"/>
      <c r="H46" s="211"/>
      <c r="I46" s="211"/>
      <c r="J46" s="212"/>
    </row>
    <row r="47" spans="1:10">
      <c r="A47" s="204" t="s">
        <v>782</v>
      </c>
      <c r="B47" s="205"/>
      <c r="C47" s="206"/>
      <c r="D47" s="209"/>
      <c r="E47" s="209"/>
      <c r="F47" s="209"/>
      <c r="G47" s="4" t="s">
        <v>431</v>
      </c>
      <c r="H47" s="209"/>
      <c r="I47" s="209"/>
      <c r="J47" s="209"/>
    </row>
    <row r="48" spans="1:10">
      <c r="A48" s="204" t="s">
        <v>783</v>
      </c>
      <c r="B48" s="205"/>
      <c r="C48" s="206"/>
      <c r="D48" s="210"/>
      <c r="E48" s="211"/>
      <c r="F48" s="211"/>
      <c r="G48" s="211"/>
      <c r="H48" s="211"/>
      <c r="I48" s="211"/>
      <c r="J48" s="212"/>
    </row>
    <row r="49" spans="1:10" ht="132" customHeight="1">
      <c r="A49" s="204" t="s">
        <v>784</v>
      </c>
      <c r="B49" s="205"/>
      <c r="C49" s="206"/>
      <c r="D49" s="201"/>
      <c r="E49" s="202"/>
      <c r="F49" s="202"/>
      <c r="G49" s="202"/>
      <c r="H49" s="202"/>
      <c r="I49" s="202"/>
      <c r="J49" s="203"/>
    </row>
    <row r="50" spans="1:10" ht="24" customHeight="1">
      <c r="A50" s="204" t="s">
        <v>785</v>
      </c>
      <c r="B50" s="205"/>
      <c r="C50" s="206"/>
      <c r="D50" s="201"/>
      <c r="E50" s="202"/>
      <c r="F50" s="202"/>
      <c r="G50" s="202"/>
      <c r="H50" s="202"/>
      <c r="I50" s="202"/>
      <c r="J50" s="203"/>
    </row>
    <row r="51" spans="1:10" ht="32.25" customHeight="1">
      <c r="A51" s="218" t="s">
        <v>786</v>
      </c>
      <c r="B51" s="219"/>
      <c r="C51" s="220"/>
      <c r="D51" s="201"/>
      <c r="E51" s="202"/>
      <c r="F51" s="202"/>
      <c r="G51" s="202"/>
      <c r="H51" s="202"/>
      <c r="I51" s="202"/>
      <c r="J51" s="203"/>
    </row>
    <row r="52" spans="1:10">
      <c r="A52" s="224"/>
      <c r="B52" s="225"/>
      <c r="C52" s="226"/>
      <c r="D52" s="201"/>
      <c r="E52" s="202"/>
      <c r="F52" s="202"/>
      <c r="G52" s="202"/>
      <c r="H52" s="202"/>
      <c r="I52" s="202"/>
      <c r="J52" s="203"/>
    </row>
    <row r="53" spans="1:10">
      <c r="A53" s="218" t="s">
        <v>787</v>
      </c>
      <c r="B53" s="219"/>
      <c r="C53" s="220"/>
      <c r="D53" s="201"/>
      <c r="E53" s="216"/>
      <c r="F53" s="216"/>
      <c r="G53" s="216"/>
      <c r="H53" s="216"/>
      <c r="I53" s="216"/>
      <c r="J53" s="217"/>
    </row>
    <row r="54" spans="1:10">
      <c r="A54" s="224"/>
      <c r="B54" s="225"/>
      <c r="C54" s="226"/>
      <c r="D54" s="201"/>
      <c r="E54" s="202"/>
      <c r="F54" s="202"/>
      <c r="G54" s="202"/>
      <c r="H54" s="202"/>
      <c r="I54" s="202"/>
      <c r="J54" s="203"/>
    </row>
    <row r="55" spans="1:10">
      <c r="A55" s="218" t="s">
        <v>788</v>
      </c>
      <c r="B55" s="219"/>
      <c r="C55" s="220"/>
      <c r="D55" s="201"/>
      <c r="E55" s="202"/>
      <c r="F55" s="202"/>
      <c r="G55" s="202"/>
      <c r="H55" s="202"/>
      <c r="I55" s="202"/>
      <c r="J55" s="203"/>
    </row>
    <row r="56" spans="1:10">
      <c r="A56" s="224"/>
      <c r="B56" s="225"/>
      <c r="C56" s="226"/>
      <c r="D56" s="201"/>
      <c r="E56" s="202"/>
      <c r="F56" s="202"/>
      <c r="G56" s="202"/>
      <c r="H56" s="202"/>
      <c r="I56" s="202"/>
      <c r="J56" s="203"/>
    </row>
    <row r="57" spans="1:10">
      <c r="A57" s="204" t="s">
        <v>789</v>
      </c>
      <c r="B57" s="205"/>
      <c r="C57" s="206"/>
      <c r="D57" s="201"/>
      <c r="E57" s="202"/>
      <c r="F57" s="202"/>
      <c r="G57" s="202"/>
      <c r="H57" s="202"/>
      <c r="I57" s="202"/>
      <c r="J57" s="203"/>
    </row>
    <row r="58" spans="1:10" ht="33" customHeight="1">
      <c r="A58" s="218" t="s">
        <v>790</v>
      </c>
      <c r="B58" s="219"/>
      <c r="C58" s="220"/>
      <c r="D58" s="201"/>
      <c r="E58" s="202"/>
      <c r="F58" s="202"/>
      <c r="G58" s="202"/>
      <c r="H58" s="202"/>
      <c r="I58" s="202"/>
      <c r="J58" s="203"/>
    </row>
    <row r="59" spans="1:10">
      <c r="A59" s="221"/>
      <c r="B59" s="222"/>
      <c r="C59" s="223"/>
      <c r="D59" s="201"/>
      <c r="E59" s="202"/>
      <c r="F59" s="202"/>
      <c r="G59" s="202"/>
      <c r="H59" s="202"/>
      <c r="I59" s="202"/>
      <c r="J59" s="203"/>
    </row>
    <row r="60" spans="1:10">
      <c r="A60" s="221"/>
      <c r="B60" s="222"/>
      <c r="C60" s="223"/>
      <c r="D60" s="201"/>
      <c r="E60" s="202"/>
      <c r="F60" s="202"/>
      <c r="G60" s="202"/>
      <c r="H60" s="202"/>
      <c r="I60" s="202"/>
      <c r="J60" s="203"/>
    </row>
    <row r="61" spans="1:10">
      <c r="A61" s="224"/>
      <c r="B61" s="225"/>
      <c r="C61" s="226"/>
      <c r="D61" s="201"/>
      <c r="E61" s="202"/>
      <c r="F61" s="202"/>
      <c r="G61" s="202"/>
      <c r="H61" s="202"/>
      <c r="I61" s="202"/>
      <c r="J61" s="203"/>
    </row>
    <row r="62" spans="1:10">
      <c r="A62" s="218" t="s">
        <v>787</v>
      </c>
      <c r="B62" s="219"/>
      <c r="C62" s="220"/>
      <c r="D62" s="201"/>
      <c r="E62" s="202"/>
      <c r="F62" s="202"/>
      <c r="G62" s="202"/>
      <c r="H62" s="202"/>
      <c r="I62" s="202"/>
      <c r="J62" s="203"/>
    </row>
    <row r="63" spans="1:10">
      <c r="A63" s="221"/>
      <c r="B63" s="222"/>
      <c r="C63" s="223"/>
      <c r="D63" s="201"/>
      <c r="E63" s="202"/>
      <c r="F63" s="202"/>
      <c r="G63" s="202"/>
      <c r="H63" s="202"/>
      <c r="I63" s="202"/>
      <c r="J63" s="203"/>
    </row>
    <row r="64" spans="1:10">
      <c r="A64" s="224"/>
      <c r="B64" s="225"/>
      <c r="C64" s="226"/>
      <c r="D64" s="201"/>
      <c r="E64" s="202"/>
      <c r="F64" s="202"/>
      <c r="G64" s="202"/>
      <c r="H64" s="202"/>
      <c r="I64" s="202"/>
      <c r="J64" s="203"/>
    </row>
    <row r="65" spans="1:10">
      <c r="A65" s="218" t="s">
        <v>788</v>
      </c>
      <c r="B65" s="219"/>
      <c r="C65" s="220"/>
      <c r="D65" s="201"/>
      <c r="E65" s="202"/>
      <c r="F65" s="202"/>
      <c r="G65" s="202"/>
      <c r="H65" s="202"/>
      <c r="I65" s="202"/>
      <c r="J65" s="203"/>
    </row>
    <row r="66" spans="1:10">
      <c r="A66" s="221"/>
      <c r="B66" s="222"/>
      <c r="C66" s="223"/>
      <c r="D66" s="201"/>
      <c r="E66" s="202"/>
      <c r="F66" s="202"/>
      <c r="G66" s="202"/>
      <c r="H66" s="202"/>
      <c r="I66" s="202"/>
      <c r="J66" s="203"/>
    </row>
    <row r="67" spans="1:10">
      <c r="A67" s="221"/>
      <c r="B67" s="222"/>
      <c r="C67" s="223"/>
      <c r="D67" s="201"/>
      <c r="E67" s="202"/>
      <c r="F67" s="202"/>
      <c r="G67" s="202"/>
      <c r="H67" s="202"/>
      <c r="I67" s="202"/>
      <c r="J67" s="203"/>
    </row>
    <row r="68" spans="1:10">
      <c r="A68" s="224"/>
      <c r="B68" s="225"/>
      <c r="C68" s="226"/>
      <c r="D68" s="201"/>
      <c r="E68" s="202"/>
      <c r="F68" s="202"/>
      <c r="G68" s="202"/>
      <c r="H68" s="202"/>
      <c r="I68" s="202"/>
      <c r="J68" s="203"/>
    </row>
    <row r="69" spans="1:10">
      <c r="A69" s="204" t="s">
        <v>791</v>
      </c>
      <c r="B69" s="205"/>
      <c r="C69" s="206"/>
      <c r="D69" s="201"/>
      <c r="E69" s="202"/>
      <c r="F69" s="202"/>
      <c r="G69" s="202"/>
      <c r="H69" s="202"/>
      <c r="I69" s="202"/>
      <c r="J69" s="203"/>
    </row>
    <row r="70" spans="1:10" ht="47.25" customHeight="1">
      <c r="A70" s="218" t="s">
        <v>792</v>
      </c>
      <c r="B70" s="219"/>
      <c r="C70" s="220"/>
      <c r="D70" s="201"/>
      <c r="E70" s="202"/>
      <c r="F70" s="202"/>
      <c r="G70" s="202"/>
      <c r="H70" s="202"/>
      <c r="I70" s="202"/>
      <c r="J70" s="203"/>
    </row>
    <row r="71" spans="1:10">
      <c r="A71" s="224"/>
      <c r="B71" s="225"/>
      <c r="C71" s="226"/>
      <c r="D71" s="201"/>
      <c r="E71" s="202"/>
      <c r="F71" s="202"/>
      <c r="G71" s="202"/>
      <c r="H71" s="202"/>
      <c r="I71" s="202"/>
      <c r="J71" s="203"/>
    </row>
    <row r="72" spans="1:10">
      <c r="A72" s="204" t="s">
        <v>793</v>
      </c>
      <c r="B72" s="205"/>
      <c r="C72" s="206"/>
      <c r="D72" s="201"/>
      <c r="E72" s="202"/>
      <c r="F72" s="202"/>
      <c r="G72" s="202"/>
      <c r="H72" s="202"/>
      <c r="I72" s="202"/>
      <c r="J72" s="203"/>
    </row>
    <row r="73" spans="1:10">
      <c r="A73" s="204" t="s">
        <v>794</v>
      </c>
      <c r="B73" s="205"/>
      <c r="C73" s="206"/>
      <c r="D73" s="201"/>
      <c r="E73" s="202"/>
      <c r="F73" s="202"/>
      <c r="G73" s="202"/>
      <c r="H73" s="202"/>
      <c r="I73" s="202"/>
      <c r="J73" s="203"/>
    </row>
    <row r="74" spans="1:10">
      <c r="A74" s="197" t="s">
        <v>795</v>
      </c>
      <c r="B74" s="197"/>
      <c r="C74" s="197"/>
      <c r="D74" s="201"/>
      <c r="E74" s="202"/>
      <c r="F74" s="202"/>
      <c r="G74" s="202"/>
      <c r="H74" s="202"/>
      <c r="I74" s="202"/>
      <c r="J74" s="203"/>
    </row>
    <row r="75" spans="1:10">
      <c r="A75" s="197"/>
      <c r="B75" s="197"/>
      <c r="C75" s="197"/>
      <c r="D75" s="201"/>
      <c r="E75" s="202"/>
      <c r="F75" s="202"/>
      <c r="G75" s="202"/>
      <c r="H75" s="202"/>
      <c r="I75" s="202"/>
      <c r="J75" s="203"/>
    </row>
    <row r="76" spans="1:10">
      <c r="A76" s="197"/>
      <c r="B76" s="197"/>
      <c r="C76" s="197"/>
      <c r="D76" s="201"/>
      <c r="E76" s="202"/>
      <c r="F76" s="202"/>
      <c r="G76" s="202"/>
      <c r="H76" s="202"/>
      <c r="I76" s="202"/>
      <c r="J76" s="203"/>
    </row>
    <row r="77" spans="1:10">
      <c r="A77" s="197" t="s">
        <v>796</v>
      </c>
      <c r="B77" s="197"/>
      <c r="C77" s="198"/>
      <c r="D77" s="199"/>
      <c r="E77" s="199"/>
      <c r="F77" s="199"/>
      <c r="G77" s="199"/>
      <c r="H77" s="199"/>
      <c r="I77" s="199"/>
      <c r="J77" s="200"/>
    </row>
    <row r="78" spans="1:10">
      <c r="A78" s="197"/>
      <c r="B78" s="197"/>
      <c r="C78" s="198"/>
      <c r="D78" s="199"/>
      <c r="E78" s="199"/>
      <c r="F78" s="199"/>
      <c r="G78" s="199"/>
      <c r="H78" s="199"/>
      <c r="I78" s="199"/>
      <c r="J78" s="200"/>
    </row>
    <row r="79" spans="1:10">
      <c r="A79" s="197"/>
      <c r="B79" s="197"/>
      <c r="C79" s="198"/>
      <c r="D79" s="199"/>
      <c r="E79" s="199"/>
      <c r="F79" s="199"/>
      <c r="G79" s="199"/>
      <c r="H79" s="199"/>
      <c r="I79" s="199"/>
      <c r="J79" s="200"/>
    </row>
    <row r="80" spans="1:10" ht="21" customHeight="1">
      <c r="A80" s="204" t="s">
        <v>797</v>
      </c>
      <c r="B80" s="206"/>
      <c r="C80" s="201"/>
      <c r="D80" s="202"/>
      <c r="E80" s="202"/>
      <c r="F80" s="202"/>
      <c r="G80" s="202"/>
      <c r="H80" s="202"/>
      <c r="I80" s="202"/>
      <c r="J80" s="203"/>
    </row>
    <row r="81" spans="1:10" ht="21" customHeight="1">
      <c r="A81" s="204" t="s">
        <v>798</v>
      </c>
      <c r="B81" s="206"/>
      <c r="C81" s="201"/>
      <c r="D81" s="202"/>
      <c r="E81" s="202"/>
      <c r="F81" s="202"/>
      <c r="G81" s="202"/>
      <c r="H81" s="202"/>
      <c r="I81" s="202"/>
      <c r="J81" s="203"/>
    </row>
    <row r="82" spans="1:10" ht="43.5" customHeight="1">
      <c r="A82" s="204" t="s">
        <v>799</v>
      </c>
      <c r="B82" s="206"/>
      <c r="C82" s="201"/>
      <c r="D82" s="202"/>
      <c r="E82" s="202"/>
      <c r="F82" s="202"/>
      <c r="G82" s="202"/>
      <c r="H82" s="202"/>
      <c r="I82" s="202"/>
      <c r="J82" s="203"/>
    </row>
    <row r="83" spans="1:10" ht="33.75" customHeight="1">
      <c r="A83" s="204" t="s">
        <v>800</v>
      </c>
      <c r="B83" s="206"/>
      <c r="C83" s="210"/>
      <c r="D83" s="202"/>
      <c r="E83" s="202"/>
      <c r="F83" s="202"/>
      <c r="G83" s="202"/>
      <c r="H83" s="202"/>
      <c r="I83" s="202"/>
      <c r="J83" s="203"/>
    </row>
    <row r="84" spans="1:10" ht="39" customHeight="1">
      <c r="A84" s="204" t="s">
        <v>801</v>
      </c>
      <c r="B84" s="206"/>
      <c r="C84" s="210"/>
      <c r="D84" s="202"/>
      <c r="E84" s="202"/>
      <c r="F84" s="202"/>
      <c r="G84" s="202"/>
      <c r="H84" s="202"/>
      <c r="I84" s="202"/>
      <c r="J84" s="203"/>
    </row>
    <row r="85" spans="1:10" ht="41.25" customHeight="1">
      <c r="A85" s="204" t="s">
        <v>802</v>
      </c>
      <c r="B85" s="206"/>
      <c r="C85" s="210"/>
      <c r="D85" s="202"/>
      <c r="E85" s="202"/>
      <c r="F85" s="202"/>
      <c r="G85" s="202"/>
      <c r="H85" s="202"/>
      <c r="I85" s="202"/>
      <c r="J85" s="203"/>
    </row>
  </sheetData>
  <mergeCells count="147">
    <mergeCell ref="A84:B84"/>
    <mergeCell ref="C84:J84"/>
    <mergeCell ref="A85:B85"/>
    <mergeCell ref="C85:J85"/>
    <mergeCell ref="A10:C11"/>
    <mergeCell ref="A22:C25"/>
    <mergeCell ref="A26:C29"/>
    <mergeCell ref="A30:C33"/>
    <mergeCell ref="A34:C35"/>
    <mergeCell ref="A36:C39"/>
    <mergeCell ref="A40:C43"/>
    <mergeCell ref="A51:C52"/>
    <mergeCell ref="A53:C54"/>
    <mergeCell ref="A55:C56"/>
    <mergeCell ref="A58:C61"/>
    <mergeCell ref="A62:C64"/>
    <mergeCell ref="A65:C68"/>
    <mergeCell ref="A70:C71"/>
    <mergeCell ref="A74:C76"/>
    <mergeCell ref="A77:B79"/>
    <mergeCell ref="C79:J79"/>
    <mergeCell ref="A80:B80"/>
    <mergeCell ref="C80:J80"/>
    <mergeCell ref="A81:B81"/>
    <mergeCell ref="C81:J81"/>
    <mergeCell ref="A82:B82"/>
    <mergeCell ref="C82:J82"/>
    <mergeCell ref="A83:B83"/>
    <mergeCell ref="C83:J83"/>
    <mergeCell ref="A72:C72"/>
    <mergeCell ref="D72:J72"/>
    <mergeCell ref="A73:C73"/>
    <mergeCell ref="D73:J73"/>
    <mergeCell ref="D74:J74"/>
    <mergeCell ref="D75:J75"/>
    <mergeCell ref="D76:J76"/>
    <mergeCell ref="C77:J77"/>
    <mergeCell ref="C78:J78"/>
    <mergeCell ref="D64:J64"/>
    <mergeCell ref="D65:J65"/>
    <mergeCell ref="D66:J66"/>
    <mergeCell ref="D67:J67"/>
    <mergeCell ref="D68:J68"/>
    <mergeCell ref="A69:C69"/>
    <mergeCell ref="D69:J69"/>
    <mergeCell ref="D70:J70"/>
    <mergeCell ref="D71:J71"/>
    <mergeCell ref="D56:J56"/>
    <mergeCell ref="A57:C57"/>
    <mergeCell ref="D57:J57"/>
    <mergeCell ref="D58:J58"/>
    <mergeCell ref="D59:J59"/>
    <mergeCell ref="D60:J60"/>
    <mergeCell ref="D61:J61"/>
    <mergeCell ref="D62:J62"/>
    <mergeCell ref="D63:J63"/>
    <mergeCell ref="A49:C49"/>
    <mergeCell ref="D49:J49"/>
    <mergeCell ref="A50:C50"/>
    <mergeCell ref="D50:J50"/>
    <mergeCell ref="D51:J51"/>
    <mergeCell ref="D52:J52"/>
    <mergeCell ref="D53:J53"/>
    <mergeCell ref="D54:J54"/>
    <mergeCell ref="D55:J55"/>
    <mergeCell ref="A45:C45"/>
    <mergeCell ref="D45:F45"/>
    <mergeCell ref="H45:J45"/>
    <mergeCell ref="A46:C46"/>
    <mergeCell ref="D46:J46"/>
    <mergeCell ref="A47:C47"/>
    <mergeCell ref="D47:F47"/>
    <mergeCell ref="H47:J47"/>
    <mergeCell ref="A48:C48"/>
    <mergeCell ref="D48:J48"/>
    <mergeCell ref="D36:J36"/>
    <mergeCell ref="D37:J37"/>
    <mergeCell ref="D38:J38"/>
    <mergeCell ref="D39:J39"/>
    <mergeCell ref="D40:J40"/>
    <mergeCell ref="D41:J41"/>
    <mergeCell ref="D42:J42"/>
    <mergeCell ref="D43:J43"/>
    <mergeCell ref="A44:C44"/>
    <mergeCell ref="D44:J44"/>
    <mergeCell ref="D27:J27"/>
    <mergeCell ref="D28:J28"/>
    <mergeCell ref="D29:J29"/>
    <mergeCell ref="D30:J30"/>
    <mergeCell ref="D31:J31"/>
    <mergeCell ref="D32:J32"/>
    <mergeCell ref="D33:J33"/>
    <mergeCell ref="D34:J34"/>
    <mergeCell ref="D35:J35"/>
    <mergeCell ref="A20:C20"/>
    <mergeCell ref="D20:J20"/>
    <mergeCell ref="A21:C21"/>
    <mergeCell ref="D21:J21"/>
    <mergeCell ref="D22:J22"/>
    <mergeCell ref="D23:J23"/>
    <mergeCell ref="D24:J24"/>
    <mergeCell ref="D25:J25"/>
    <mergeCell ref="D26:J26"/>
    <mergeCell ref="A16:C16"/>
    <mergeCell ref="D16:J16"/>
    <mergeCell ref="A17:C17"/>
    <mergeCell ref="D17:J17"/>
    <mergeCell ref="A18:C18"/>
    <mergeCell ref="D18:E18"/>
    <mergeCell ref="F18:G18"/>
    <mergeCell ref="H18:I18"/>
    <mergeCell ref="A19:C19"/>
    <mergeCell ref="D19:E19"/>
    <mergeCell ref="F19:G19"/>
    <mergeCell ref="H19:I19"/>
    <mergeCell ref="D10:J10"/>
    <mergeCell ref="D11:J11"/>
    <mergeCell ref="A12:C12"/>
    <mergeCell ref="D12:J12"/>
    <mergeCell ref="A13:C13"/>
    <mergeCell ref="D13:J13"/>
    <mergeCell ref="A14:C14"/>
    <mergeCell ref="D14:J14"/>
    <mergeCell ref="A15:C15"/>
    <mergeCell ref="D15:J15"/>
    <mergeCell ref="A6:C6"/>
    <mergeCell ref="D6:J6"/>
    <mergeCell ref="A7:C7"/>
    <mergeCell ref="D7:J7"/>
    <mergeCell ref="A8:C8"/>
    <mergeCell ref="D8:F8"/>
    <mergeCell ref="G8:H8"/>
    <mergeCell ref="I8:J8"/>
    <mergeCell ref="A9:C9"/>
    <mergeCell ref="D9:F9"/>
    <mergeCell ref="G9:H9"/>
    <mergeCell ref="I9:J9"/>
    <mergeCell ref="A1:C1"/>
    <mergeCell ref="D1:J1"/>
    <mergeCell ref="A2:C2"/>
    <mergeCell ref="D2:J2"/>
    <mergeCell ref="A3:C3"/>
    <mergeCell ref="D3:J3"/>
    <mergeCell ref="A4:C4"/>
    <mergeCell ref="D4:J4"/>
    <mergeCell ref="A5:C5"/>
    <mergeCell ref="D5:J5"/>
  </mergeCells>
  <dataValidations count="4">
    <dataValidation type="list" allowBlank="1" showInputMessage="1" showErrorMessage="1" sqref="G10:J10" xr:uid="{00000000-0002-0000-1700-000001000000}">
      <formula1>$AK$1:$AK$3</formula1>
    </dataValidation>
    <dataValidation type="list" allowBlank="1" showInputMessage="1" showErrorMessage="1" sqref="G11:J11" xr:uid="{00000000-0002-0000-1700-000002000000}">
      <formula1>$BC$1:$BC$2</formula1>
    </dataValidation>
    <dataValidation type="custom" allowBlank="1" showInputMessage="1" showErrorMessage="1" error="SUNDAY" sqref="D16:J16 D17 D44:J44 D45:F45 H45:J45 H47 D46:D48 D30:J33 D18:E19 H18:I19 C84:J85" xr:uid="{00000000-0002-0000-1700-000003000000}">
      <formula1>WEEKDAY(C16)&gt;1</formula1>
    </dataValidation>
    <dataValidation type="list" allowBlank="1" showInputMessage="1" showErrorMessage="1" sqref="D26:J29" xr:uid="{00000000-0002-0000-1700-000004000000}">
      <formula1>$AK$16:$AK$21</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LIST!$A$1:$A$5</xm:f>
          </x14:formula1>
          <xm:sqref>D4:J4</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25"/>
  <dimension ref="A1:A38"/>
  <sheetViews>
    <sheetView topLeftCell="A13" workbookViewId="0">
      <selection activeCell="G23" sqref="G23"/>
    </sheetView>
  </sheetViews>
  <sheetFormatPr defaultColWidth="9" defaultRowHeight="15.75"/>
  <cols>
    <col min="1" max="1" width="38.625" customWidth="1"/>
  </cols>
  <sheetData>
    <row r="1" spans="1:1">
      <c r="A1" s="1" t="s">
        <v>384</v>
      </c>
    </row>
    <row r="2" spans="1:1">
      <c r="A2" s="1" t="s">
        <v>582</v>
      </c>
    </row>
    <row r="3" spans="1:1">
      <c r="A3" s="1" t="s">
        <v>583</v>
      </c>
    </row>
    <row r="4" spans="1:1">
      <c r="A4" s="1" t="s">
        <v>584</v>
      </c>
    </row>
    <row r="5" spans="1:1">
      <c r="A5" s="1" t="s">
        <v>585</v>
      </c>
    </row>
    <row r="7" spans="1:1">
      <c r="A7" t="s">
        <v>745</v>
      </c>
    </row>
    <row r="8" spans="1:1">
      <c r="A8" t="s">
        <v>748</v>
      </c>
    </row>
    <row r="9" spans="1:1">
      <c r="A9" t="s">
        <v>751</v>
      </c>
    </row>
    <row r="11" spans="1:1">
      <c r="A11" t="s">
        <v>746</v>
      </c>
    </row>
    <row r="12" spans="1:1">
      <c r="A12" t="s">
        <v>749</v>
      </c>
    </row>
    <row r="14" spans="1:1">
      <c r="A14" t="s">
        <v>803</v>
      </c>
    </row>
    <row r="15" spans="1:1">
      <c r="A15" t="s">
        <v>804</v>
      </c>
    </row>
    <row r="16" spans="1:1">
      <c r="A16" t="s">
        <v>805</v>
      </c>
    </row>
    <row r="17" spans="1:1">
      <c r="A17" t="s">
        <v>806</v>
      </c>
    </row>
    <row r="18" spans="1:1">
      <c r="A18" t="s">
        <v>807</v>
      </c>
    </row>
    <row r="19" spans="1:1">
      <c r="A19" t="s">
        <v>808</v>
      </c>
    </row>
    <row r="21" spans="1:1">
      <c r="A21" t="s">
        <v>809</v>
      </c>
    </row>
    <row r="22" spans="1:1">
      <c r="A22" t="s">
        <v>604</v>
      </c>
    </row>
    <row r="23" spans="1:1">
      <c r="A23" t="s">
        <v>24</v>
      </c>
    </row>
    <row r="25" spans="1:1">
      <c r="A25" t="s">
        <v>810</v>
      </c>
    </row>
    <row r="26" spans="1:1">
      <c r="A26" t="s">
        <v>811</v>
      </c>
    </row>
    <row r="27" spans="1:1">
      <c r="A27" t="s">
        <v>812</v>
      </c>
    </row>
    <row r="28" spans="1:1">
      <c r="A28" t="s">
        <v>24</v>
      </c>
    </row>
    <row r="30" spans="1:1">
      <c r="A30" t="s">
        <v>355</v>
      </c>
    </row>
    <row r="31" spans="1:1">
      <c r="A31" t="s">
        <v>358</v>
      </c>
    </row>
    <row r="32" spans="1:1">
      <c r="A32" t="s">
        <v>769</v>
      </c>
    </row>
    <row r="33" spans="1:1">
      <c r="A33" t="s">
        <v>770</v>
      </c>
    </row>
    <row r="34" spans="1:1">
      <c r="A34" t="s">
        <v>772</v>
      </c>
    </row>
    <row r="36" spans="1:1">
      <c r="A36" t="s">
        <v>715</v>
      </c>
    </row>
    <row r="37" spans="1:1">
      <c r="A37" t="s">
        <v>717</v>
      </c>
    </row>
    <row r="38" spans="1:1">
      <c r="A38" t="s">
        <v>718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FI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Bp9ISX9AAAAJwBAAATAAAARm9ybXVsYXMvU2VjdGlvbjEubW2QsWrDMBCGd4PfQaiLDSLYXVoaPBgnkCktkaGD8aA41yRE1pWTXBqM370qdpO2RIvg/0/fd8hC445omBzvdB4GYWAPimDHZJmvF/lmIVnGNLgwYP5I7KgBnyw/G9CzoiMC416RTlvEUxT31Vq1kPHLY14PVYHG+alajIw7/kLYovOOFagdkOUeWKqthtnUTHk06gSrpjzXWjZKK7KZow7q+IIsDsrsPbE8v8MVV5Iy9g2pLVB3rfkubXTDL/qeP69kLln6mCTp032SPHDBnJ9nypyH4SraQIsfXjQSf60+FlPsJX82Ejf4QxwGR/PzJ/+58y9QSwMEFAAAAAgAh07iQH+/08qdAAAA5AAAABMAAABbQ29udGVudF9UeXBlc10ueG1sbY9LDsIwDESvEnmfurBACDXtonADLhAF9yOajxoXhduT0B1i6fE8z7jpkl3Ei9Y4e6fgUNUgyBn/mN2oYONBnqFrm/s7UBTZ6qKCiTlcEKOZyOpY+UAubwa/Ws15XEcM2jz1SHis6xMa75gcSy43oG2uNOhtYXFLWd5jMw6i330lSgFTYiwy/gXsj12HsMxGc34Ck7RR2gLit3b7AVBLAQIUABQAAAAIAIdO4kB/v9PKnQAAAOQAAAATAAAAAAAAAAEAIAAAAEACAABbQ29udGVudF9UeXBlc10ueG1sUEsBAhQACgAAAAAAh07iQAAAAAAAAAAAAAAAAAcAAAAAAAAAAAAQAAAAAAAAAENvbmZpZy9QSwECFAAUAAAACACHTuJAEjj+mJ8AAADzAAAAEgAAAAAAAAABACAAAAAlAAAAQ29uZmlnL1BhY2thZ2UueG1sUEsBAhQACgAAAAAAh07iQAAAAAAAAAAAAAAAAAkAAAAAAAAAAAAQAAAA9AAAAEZvcm11bGFzL1BLAQIUABQAAAAIAIdO4kBp9ISX9AAAAJwBAAATAAAAAAAAAAEAIAAAABsBAABGb3JtdWxhcy9TZWN0aW9uMS5tUEsFBgAAAAAFAAUALgEAAA4DAAAAAA4BAAA8P3htbCB2ZXJzaW9uPSIxLjAiIGVuY29kaW5nPSJ1dGYtOCIg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6gAwAAAAAAAH4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PEl0ZW1QYXRoIC8+PC9JdGVtTG9jYXRpb24+PFN0YWJsZUVudHJpZXM+PEVudHJ5IFR5cGU9IlJlbGF0aW9uc2hpcHMiIFZhbHVlPSJzQUFBQUFBPT0iIC8+PC9TdGFibGVFbnRyaWVzPjwvSXRlbT48SXRlbT48SXRlbUxvY2F0aW9uPjxJdGVtVHlwZT5Gb3JtdWxhPC9JdGVtVHlwZT48SXRlbVBhdGg+U2VjdGlvbjEvU1RBTkRBUkRTPC9JdGVtUGF0aD48L0l0ZW1Mb2NhdGlvbj48U3RhYmxlRW50cmllcz48RW50cnkgVHlwZT0iSXNQcml2YXRlIiBWYWx1ZT0ibDAiIC8+PEVudHJ5IFR5cGU9IkZpbGxFbmFibGVkIiBWYWx1ZT0ibDEiIC8+PEVudHJ5IFR5cGU9IkZpbGxPYmplY3RUeXBlIiBWYWx1ZT0ic1RhYmxlIiAvPjxFbnRyeSBUeXBlPSJRdWVyeUlEIiBWYWx1ZT0iczM5ZjQxOWZjLWFhZjYtNDZmNS05NDcwLWFlMjVhMTAwZTdkNCIgLz48RW50cnkgVHlwZT0iUmVzdWx0VHlwZSIgVmFsdWU9InNUYWJsZSIgLz48RW50cnkgVHlwZT0iRmlsbENvdW50IiBWYWx1ZT0ibDAiIC8+PEVudHJ5IFR5cGU9IkZpbGxFcnJvckNvdW50IiBWYWx1ZT0ibDAiIC8+PEVudHJ5IFR5cGU9IkZpbGxMYXN0VXBkYXRlZCIgVmFsdWU9ImQyMDIxLTA3LTEzVDEyOjI4OjU4Ljg4MTAwMDBaIiAvPjwvU3RhYmxlRW50cmllcz48L0l0ZW0+PC9JdGVtcz48L0xvY2FsUGFja2FnZU1ldGFkYXRhRmlsZT4WAAAAUEsFBgAAAAAAAAAAAAAAAAAAAAAAACYBAAABAAAA0Iyd3wEV0RGMegDAT8KX6wEAAABSewwhVclJQoT+sJJMvi/9AAAAAAIAAAAAABBmAAAAAQAAIAAAACetKursMg7SB4olCzcjVCwqOcvwtk0IJA6MGH+0AjTNAAAAAA6AAAAAAgAAIAAAAA5V7nvGyPpfLjY/PJIxG5nbeLBLFTrKfeH2iw0V43DLUAAAADK3VBizktL9DEUcrwy7naUccX4y6nIs5RNlCD+kPJ+34ZvjX8gEx5FcdR14Jg3n/5LX4ZLeg00Nj6yRwHpvBjQpb7aHg79aflxn+xKdBTGgQAAAAO8HyjENamN3wI8NXc0IpW2FZGiSS84mtMfcGi5TZxKxPJDdbL0vs1pOxNFptCrpf3HPlCCiZOgZ8BoNHKgyxCc=</DataMashup>
</file>

<file path=customXml/itemProps1.xml><?xml version="1.0" encoding="utf-8"?>
<ds:datastoreItem xmlns:ds="http://schemas.openxmlformats.org/officeDocument/2006/customXml" ds:itemID="{44B4B7A9-6613-4BBD-8700-DD8C32BCE5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123</vt:i4>
      </vt:variant>
    </vt:vector>
  </HeadingPairs>
  <TitlesOfParts>
    <vt:vector size="148" baseType="lpstr">
      <vt:lpstr>Index </vt:lpstr>
      <vt:lpstr>F02 Application Form</vt:lpstr>
      <vt:lpstr>F03 App Rev &amp; F03-01 Aud Pln</vt:lpstr>
      <vt:lpstr>F03A Audit Planning for 3 years</vt:lpstr>
      <vt:lpstr>F-03 Auditor(s) Declaration</vt:lpstr>
      <vt:lpstr>F05&amp;F06 S1Plan&amp;Schedule</vt:lpstr>
      <vt:lpstr>F07 S1Opening&amp;Closing Meeting</vt:lpstr>
      <vt:lpstr>F09A S1Report</vt:lpstr>
      <vt:lpstr>AUD-F-22-REVIEW REPORT (A)</vt:lpstr>
      <vt:lpstr>F11&amp;F12 S2Plan&amp;Schedule</vt:lpstr>
      <vt:lpstr>F07 S2 Open&amp;Clos Meeting</vt:lpstr>
      <vt:lpstr>F15A S2Report</vt:lpstr>
      <vt:lpstr>F16&amp;F17 CAR</vt:lpstr>
      <vt:lpstr>AUD-F-17 CAR</vt:lpstr>
      <vt:lpstr>AUD-F-21 Draft</vt:lpstr>
      <vt:lpstr>Sheet7</vt:lpstr>
      <vt:lpstr>Sheet6</vt:lpstr>
      <vt:lpstr>Sheet5</vt:lpstr>
      <vt:lpstr>Sheet4</vt:lpstr>
      <vt:lpstr>Sheet3</vt:lpstr>
      <vt:lpstr>Sheet2</vt:lpstr>
      <vt:lpstr>Sheet1</vt:lpstr>
      <vt:lpstr>AUD-F-22-REVIEW REPORT (B)</vt:lpstr>
      <vt:lpstr>DATA</vt:lpstr>
      <vt:lpstr>LIST</vt:lpstr>
      <vt:lpstr>ADS</vt:lpstr>
      <vt:lpstr>ADSITE</vt:lpstr>
      <vt:lpstr>APPD</vt:lpstr>
      <vt:lpstr>APPRD</vt:lpstr>
      <vt:lpstr>ATP</vt:lpstr>
      <vt:lpstr>AUDDEC1</vt:lpstr>
      <vt:lpstr>AUDDEC2</vt:lpstr>
      <vt:lpstr>AUDDEC3</vt:lpstr>
      <vt:lpstr>AUDDEC4</vt:lpstr>
      <vt:lpstr>AUDITLANG</vt:lpstr>
      <vt:lpstr>AUDITNUM</vt:lpstr>
      <vt:lpstr>AUDITOR1</vt:lpstr>
      <vt:lpstr>AUDITOR2</vt:lpstr>
      <vt:lpstr>AUDITOR3</vt:lpstr>
      <vt:lpstr>AUDITOR4</vt:lpstr>
      <vt:lpstr>AUDITTYPE</vt:lpstr>
      <vt:lpstr>AUDITTYPE2</vt:lpstr>
      <vt:lpstr>BAO</vt:lpstr>
      <vt:lpstr>CARDATE1</vt:lpstr>
      <vt:lpstr>CC1DESIG</vt:lpstr>
      <vt:lpstr>CC1NAME</vt:lpstr>
      <vt:lpstr>CC2DESIG</vt:lpstr>
      <vt:lpstr>CC2NAME</vt:lpstr>
      <vt:lpstr>CERTSTD</vt:lpstr>
      <vt:lpstr>CODNOM</vt:lpstr>
      <vt:lpstr>CONTACTNUM</vt:lpstr>
      <vt:lpstr>CONTACTPERS</vt:lpstr>
      <vt:lpstr>CONTMOB</vt:lpstr>
      <vt:lpstr>CONTNOM</vt:lpstr>
      <vt:lpstr>CORRECTION1</vt:lpstr>
      <vt:lpstr>CORRECTIVEACTION1</vt:lpstr>
      <vt:lpstr>DESIGNATION</vt:lpstr>
      <vt:lpstr>ELEVENMONTH</vt:lpstr>
      <vt:lpstr>EMAILID</vt:lpstr>
      <vt:lpstr>EMPLOYEENUM</vt:lpstr>
      <vt:lpstr>GZA</vt:lpstr>
      <vt:lpstr>IAD</vt:lpstr>
      <vt:lpstr>IAFCODE</vt:lpstr>
      <vt:lpstr>ICCODE</vt:lpstr>
      <vt:lpstr>ID</vt:lpstr>
      <vt:lpstr>LEGAL</vt:lpstr>
      <vt:lpstr>May_23</vt:lpstr>
      <vt:lpstr>MED</vt:lpstr>
      <vt:lpstr>MND</vt:lpstr>
      <vt:lpstr>MOA</vt:lpstr>
      <vt:lpstr>MRMD</vt:lpstr>
      <vt:lpstr>'F09A S1Report'!OLE_LINK1</vt:lpstr>
      <vt:lpstr>'F09A S1Report'!OLE_LINK3</vt:lpstr>
      <vt:lpstr>OML</vt:lpstr>
      <vt:lpstr>ORGADD</vt:lpstr>
      <vt:lpstr>ORGN</vt:lpstr>
      <vt:lpstr>OUTSOURCING</vt:lpstr>
      <vt:lpstr>'AUD-F-21 Draft'!Print_Area</vt:lpstr>
      <vt:lpstr>'F03 App Rev &amp; F03-01 Aud Pln'!Print_Area</vt:lpstr>
      <vt:lpstr>'F-03 Auditor(s) Declaration'!Print_Area</vt:lpstr>
      <vt:lpstr>'F03A Audit Planning for 3 years'!Print_Area</vt:lpstr>
      <vt:lpstr>'F05&amp;F06 S1Plan&amp;Schedule'!Print_Area</vt:lpstr>
      <vt:lpstr>'F07 S1Opening&amp;Closing Meeting'!Print_Area</vt:lpstr>
      <vt:lpstr>'F07 S2 Open&amp;Clos Meeting'!Print_Area</vt:lpstr>
      <vt:lpstr>'F09A S1Report'!Print_Area</vt:lpstr>
      <vt:lpstr>'F11&amp;F12 S2Plan&amp;Schedule'!Print_Area</vt:lpstr>
      <vt:lpstr>'F15A S2Report'!Print_Area</vt:lpstr>
      <vt:lpstr>'F16&amp;F17 CAR'!Print_Area</vt:lpstr>
      <vt:lpstr>PROCESSDEPT1</vt:lpstr>
      <vt:lpstr>PROCESSDEPT2</vt:lpstr>
      <vt:lpstr>PROCESSDEPT3</vt:lpstr>
      <vt:lpstr>RDHOD</vt:lpstr>
      <vt:lpstr>RDREV</vt:lpstr>
      <vt:lpstr>RISK</vt:lpstr>
      <vt:lpstr>RN</vt:lpstr>
      <vt:lpstr>ROLE1</vt:lpstr>
      <vt:lpstr>ROLE2</vt:lpstr>
      <vt:lpstr>ROLE3</vt:lpstr>
      <vt:lpstr>ROLE4</vt:lpstr>
      <vt:lpstr>ROOTCAUSE1</vt:lpstr>
      <vt:lpstr>SCOPE</vt:lpstr>
      <vt:lpstr>ST1AUDDATE1</vt:lpstr>
      <vt:lpstr>ST1AUDDATE2</vt:lpstr>
      <vt:lpstr>ST1AUDPLAN</vt:lpstr>
      <vt:lpstr>ST1CLAUSE1</vt:lpstr>
      <vt:lpstr>ST1CLAUSE2</vt:lpstr>
      <vt:lpstr>ST1MANDAY1</vt:lpstr>
      <vt:lpstr>ST1MANDAY2</vt:lpstr>
      <vt:lpstr>ST1MANDAY3</vt:lpstr>
      <vt:lpstr>ST1MANDAY4</vt:lpstr>
      <vt:lpstr>ST1OBS1</vt:lpstr>
      <vt:lpstr>ST1OBS2</vt:lpstr>
      <vt:lpstr>ST1OBSQTY</vt:lpstr>
      <vt:lpstr>ST2AUDDA</vt:lpstr>
      <vt:lpstr>ST2AUDDATE1</vt:lpstr>
      <vt:lpstr>ST2AUDDATE2</vt:lpstr>
      <vt:lpstr>ST2AUDDATE21</vt:lpstr>
      <vt:lpstr>ST2AUDPLAN</vt:lpstr>
      <vt:lpstr>ST2CLAUSE1</vt:lpstr>
      <vt:lpstr>ST2CLAUSE2</vt:lpstr>
      <vt:lpstr>ST2CLAUSE3</vt:lpstr>
      <vt:lpstr>ST2CLAUSE4</vt:lpstr>
      <vt:lpstr>ST2MANDAY1</vt:lpstr>
      <vt:lpstr>ST2MANDAY2</vt:lpstr>
      <vt:lpstr>ST2MANDAY3</vt:lpstr>
      <vt:lpstr>ST2MANDAY4</vt:lpstr>
      <vt:lpstr>ST2MINNC1</vt:lpstr>
      <vt:lpstr>ST2MINNC2</vt:lpstr>
      <vt:lpstr>ST2MINNCCL1</vt:lpstr>
      <vt:lpstr>ST2MINNCCL2</vt:lpstr>
      <vt:lpstr>ST2MINNCQTY</vt:lpstr>
      <vt:lpstr>ST2OBS1</vt:lpstr>
      <vt:lpstr>ST2OBS2</vt:lpstr>
      <vt:lpstr>ST2OBS3</vt:lpstr>
      <vt:lpstr>ST2OBS4</vt:lpstr>
      <vt:lpstr>ST2OBSQTY</vt:lpstr>
      <vt:lpstr>STANDARD</vt:lpstr>
      <vt:lpstr>STANDARD1</vt:lpstr>
      <vt:lpstr>STANDARD2</vt:lpstr>
      <vt:lpstr>STANDARD3</vt:lpstr>
      <vt:lpstr>STANDARD4</vt:lpstr>
      <vt:lpstr>STANDARD5</vt:lpstr>
      <vt:lpstr>STD</vt:lpstr>
      <vt:lpstr>STR</vt:lpstr>
      <vt:lpstr>TOTALMD</vt:lpstr>
      <vt:lpstr>TYPENC1</vt:lpstr>
      <vt:lpstr>TYPENC2</vt:lpstr>
      <vt:lpstr>TYPENC3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INTERCERT</dc:creator>
  <cp:lastModifiedBy>b2bmart 360</cp:lastModifiedBy>
  <cp:lastPrinted>2024-01-02T13:14:00Z</cp:lastPrinted>
  <dcterms:created xsi:type="dcterms:W3CDTF">2018-06-23T05:31:00Z</dcterms:created>
  <dcterms:modified xsi:type="dcterms:W3CDTF">2026-06-03T13:30:17Z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5F6DB6CDEDCC424784FAEB3A5BFB4202_12</vt:lpwstr>
  </property>
  <property fmtid="{D5CDD505-2E9C-101B-9397-08002B2CF9AE}" pid="3" name="KSOProductBuildVer">
    <vt:lpwstr>1033-12.1.0.26880</vt:lpwstr>
  </property>
  <property fmtid="{D5CDD505-2E9C-101B-9397-08002B2CF9AE}" pid="4" name="CalculationRule">
    <vt:i4>0</vt:i4>
  </property>
</Properties>
</file>